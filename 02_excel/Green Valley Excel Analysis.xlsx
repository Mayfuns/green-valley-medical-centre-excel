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7e81e1d6fa8fc368/Desktop/Documents/10alytics/EXCEL 10ALYTICS/Green Medical Project/"/>
    </mc:Choice>
  </mc:AlternateContent>
  <xr:revisionPtr revIDLastSave="59" documentId="13_ncr:1_{CB555406-7702-4E76-9CDD-CD86A24978E1}" xr6:coauthVersionLast="47" xr6:coauthVersionMax="47" xr10:uidLastSave="{ECE421E4-02D3-4DEA-BCD6-E54EDC3F8B6C}"/>
  <bookViews>
    <workbookView xWindow="-110" yWindow="-110" windowWidth="19420" windowHeight="11500" activeTab="3" xr2:uid="{00000000-000D-0000-FFFF-FFFF00000000}"/>
  </bookViews>
  <sheets>
    <sheet name="Hospital_Data" sheetId="1" r:id="rId1"/>
    <sheet name="Workings" sheetId="2" r:id="rId2"/>
    <sheet name="Dashboard" sheetId="3" r:id="rId3"/>
    <sheet name="Sheet1" sheetId="4" r:id="rId4"/>
  </sheets>
  <definedNames>
    <definedName name="_xlchart.v1.0" hidden="1">Workings!$E$56:$E$62</definedName>
    <definedName name="_xlchart.v1.1" hidden="1">Workings!$F$55</definedName>
    <definedName name="_xlchart.v1.2" hidden="1">Workings!$F$56:$F$62</definedName>
    <definedName name="_xlchart.v2.3" hidden="1">Workings!$E$46:$E$49</definedName>
    <definedName name="_xlchart.v2.4" hidden="1">Workings!$F$45</definedName>
    <definedName name="_xlchart.v2.5" hidden="1">Workings!$F$46:$F$49</definedName>
    <definedName name="Slicer_Department">#N/A</definedName>
    <definedName name="Slicer_Doctor_Name">#N/A</definedName>
    <definedName name="Slicer_Gender">#N/A</definedName>
    <definedName name="Slicer_Treatment_Type">#N/A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 i="2" l="1"/>
  <c r="F58" i="2"/>
  <c r="F59" i="2"/>
  <c r="F60" i="2"/>
  <c r="F61" i="2"/>
  <c r="F62" i="2"/>
  <c r="F63" i="2"/>
  <c r="F56" i="2"/>
  <c r="F48" i="2"/>
  <c r="F49" i="2"/>
  <c r="F50" i="2"/>
  <c r="F46" i="2"/>
  <c r="F47" i="2"/>
</calcChain>
</file>

<file path=xl/sharedStrings.xml><?xml version="1.0" encoding="utf-8"?>
<sst xmlns="http://schemas.openxmlformats.org/spreadsheetml/2006/main" count="2888" uniqueCount="459">
  <si>
    <t>Patient ID</t>
  </si>
  <si>
    <t>Department</t>
  </si>
  <si>
    <t>Treatment Type</t>
  </si>
  <si>
    <t>Doctor Name</t>
  </si>
  <si>
    <t>Gender</t>
  </si>
  <si>
    <t>Age</t>
  </si>
  <si>
    <t>Treatment Cost</t>
  </si>
  <si>
    <t>Hospital Stay (Days)</t>
  </si>
  <si>
    <t>Recovery Score</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</si>
  <si>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</si>
  <si>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</si>
  <si>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</si>
  <si>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</si>
  <si>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</si>
  <si>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</si>
  <si>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</si>
  <si>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</si>
  <si>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</si>
  <si>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</si>
  <si>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</si>
  <si>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</si>
  <si>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</si>
  <si>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</si>
  <si>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</si>
  <si>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</si>
  <si>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</si>
  <si>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</si>
  <si>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</si>
  <si>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</si>
  <si>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</si>
  <si>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</si>
  <si>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</si>
  <si>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</si>
  <si>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</si>
  <si>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</si>
  <si>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</si>
  <si>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</si>
  <si>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</si>
  <si>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</si>
  <si>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</si>
  <si>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</si>
  <si>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</si>
  <si>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</si>
  <si>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</si>
  <si>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</si>
  <si>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</si>
  <si>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</si>
  <si>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</si>
  <si>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</si>
  <si>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</si>
  <si>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</si>
  <si>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</si>
  <si>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</si>
  <si>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</si>
  <si>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</si>
  <si>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</si>
  <si>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</si>
  <si>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</si>
  <si>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</si>
  <si>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</si>
  <si>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</si>
  <si>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</si>
  <si>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</si>
  <si>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</si>
  <si>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</si>
  <si>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</si>
  <si>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</si>
  <si>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</si>
  <si>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</si>
  <si>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</si>
  <si>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</si>
  <si>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</si>
  <si>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</si>
  <si>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</si>
  <si>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</si>
  <si>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</si>
  <si>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</si>
  <si>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</si>
  <si>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</si>
  <si>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</si>
  <si>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</si>
  <si>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</si>
  <si>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</si>
  <si>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</si>
  <si>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</si>
  <si>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</si>
  <si>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</si>
  <si>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</si>
  <si>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</si>
  <si>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</si>
  <si>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</si>
  <si>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</si>
  <si>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</si>
  <si>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</si>
  <si>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</si>
  <si>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</si>
  <si>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</si>
  <si>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</si>
  <si>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</si>
  <si>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</si>
  <si>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</si>
  <si>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</si>
  <si>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</si>
  <si>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</si>
  <si>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</si>
  <si>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</si>
  <si>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</si>
  <si>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</si>
  <si>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</si>
  <si>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</si>
  <si>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</si>
  <si>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</si>
  <si>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</si>
  <si>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</si>
  <si>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</si>
  <si>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</si>
  <si>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</si>
  <si>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</si>
  <si>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</si>
  <si>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</si>
  <si>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</si>
  <si>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</si>
  <si>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</si>
  <si>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</si>
  <si>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</si>
  <si>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</si>
  <si>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</si>
  <si>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</si>
  <si>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</si>
  <si>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</si>
  <si>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</si>
  <si>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</si>
  <si>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</si>
  <si>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</si>
  <si>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</si>
  <si>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</si>
  <si>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</si>
  <si>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</si>
  <si>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</si>
  <si>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</si>
  <si>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</si>
  <si>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</si>
  <si>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</si>
  <si>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</si>
  <si>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</si>
  <si>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</si>
  <si>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</si>
  <si>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</si>
  <si>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</si>
  <si>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</si>
  <si>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</si>
  <si>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</si>
  <si>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</si>
  <si>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</si>
  <si>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</si>
  <si>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</si>
  <si>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</si>
  <si>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</si>
  <si>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</si>
  <si>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</si>
  <si>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</si>
  <si>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</si>
  <si>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</si>
  <si>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</si>
  <si>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</si>
  <si>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</si>
  <si>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</si>
  <si>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</si>
  <si>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</si>
  <si>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</si>
  <si>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</si>
  <si>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</si>
  <si>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</si>
  <si>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</si>
  <si>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</si>
  <si>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</si>
  <si>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</si>
  <si>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</si>
  <si>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</si>
  <si>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</si>
  <si>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</si>
  <si>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</si>
  <si>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</si>
  <si>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</si>
  <si>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</si>
  <si>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</si>
  <si>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</si>
  <si>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</si>
  <si>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</si>
  <si>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</si>
  <si>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</si>
  <si>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</si>
  <si>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</si>
  <si>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</si>
  <si>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</si>
  <si>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</si>
  <si>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</si>
  <si>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</si>
  <si>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</si>
  <si>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</si>
  <si>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</si>
  <si>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</si>
  <si>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</si>
  <si>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</si>
  <si>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</si>
  <si>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</si>
  <si>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</si>
  <si>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</si>
  <si>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</si>
  <si>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</si>
  <si>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</si>
  <si>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</si>
  <si>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</si>
  <si>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</si>
  <si>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</si>
  <si>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</si>
  <si>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</si>
  <si>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</si>
  <si>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</si>
  <si>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</si>
  <si>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</si>
  <si>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</si>
  <si>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</si>
  <si>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</si>
  <si>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</si>
  <si>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</si>
  <si>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</si>
  <si>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</si>
  <si>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</si>
  <si>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</si>
  <si>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</si>
  <si>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</si>
  <si>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</si>
  <si>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</si>
  <si>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</si>
  <si>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</si>
  <si>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</si>
  <si>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</si>
  <si>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</si>
  <si>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</si>
  <si>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</si>
  <si>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</si>
  <si>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</si>
  <si>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</si>
  <si>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</si>
  <si>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</si>
  <si>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</si>
  <si>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</si>
  <si>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</si>
  <si>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</si>
  <si>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</si>
  <si>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</si>
  <si>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</si>
  <si>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</si>
  <si>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</si>
  <si>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</si>
  <si>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</si>
  <si>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</si>
  <si>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</si>
  <si>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</si>
  <si>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</si>
  <si>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</si>
  <si>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</si>
  <si>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</si>
  <si>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</si>
  <si>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</si>
  <si>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</si>
  <si>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</si>
  <si>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</si>
  <si>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</si>
  <si>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</si>
  <si>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</si>
  <si>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</si>
  <si>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</si>
  <si>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</si>
  <si>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</si>
  <si>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</si>
  <si>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</si>
  <si>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</si>
  <si>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</si>
  <si>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</si>
  <si>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</si>
  <si>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</si>
  <si>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</si>
  <si>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</si>
  <si>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</si>
  <si>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</si>
  <si>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</si>
  <si>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</si>
  <si>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</si>
  <si>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</si>
  <si>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</si>
  <si>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</si>
  <si>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</si>
  <si>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</si>
  <si>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</si>
  <si>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</si>
  <si>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</si>
  <si>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</si>
  <si>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</si>
  <si>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</si>
  <si>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</si>
  <si>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</si>
  <si>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</si>
  <si>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</si>
  <si>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</si>
  <si>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</si>
  <si>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</si>
  <si>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</si>
  <si>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</si>
  <si>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</si>
  <si>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</si>
  <si>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</si>
  <si>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</si>
  <si>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</si>
  <si>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</si>
  <si>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</si>
  <si>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</si>
  <si>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</si>
  <si>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</si>
  <si>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</si>
  <si>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</si>
  <si>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</si>
  <si>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</si>
  <si>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</si>
  <si>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</si>
  <si>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</si>
  <si>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</si>
  <si>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</si>
  <si>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</si>
  <si>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</si>
  <si>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</si>
  <si>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</si>
  <si>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</si>
  <si>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</si>
  <si>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</si>
  <si>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</si>
  <si>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</si>
  <si>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</si>
  <si>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</si>
  <si>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</si>
  <si>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</si>
  <si>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</si>
  <si>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</si>
  <si>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</si>
  <si>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</si>
  <si>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</si>
  <si>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</si>
  <si>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</si>
  <si>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</si>
  <si>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</si>
  <si>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</si>
  <si>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</si>
  <si>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</si>
  <si>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</si>
  <si>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</si>
  <si>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</si>
  <si>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</si>
  <si>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</si>
  <si>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</si>
  <si>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</si>
  <si>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</si>
  <si>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</si>
  <si>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</si>
  <si>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</si>
  <si>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</si>
  <si>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</si>
  <si>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</si>
  <si>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</si>
  <si>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</si>
  <si>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</si>
  <si>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</si>
  <si>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</si>
  <si>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</si>
  <si>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</si>
  <si>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</si>
  <si>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</si>
  <si>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</si>
  <si>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</si>
  <si>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</si>
  <si>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</si>
  <si>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</si>
  <si>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</si>
  <si>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</si>
  <si>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</si>
  <si>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</si>
  <si>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</si>
  <si>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</si>
  <si>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</si>
  <si>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</si>
  <si>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</si>
  <si>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</si>
  <si>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</si>
  <si>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</si>
  <si>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</si>
  <si>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</si>
  <si>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</si>
  <si>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</si>
  <si>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</si>
  <si>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</si>
  <si>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</si>
  <si>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</si>
  <si>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</si>
  <si>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</si>
  <si>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</si>
  <si>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</si>
  <si>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</si>
  <si>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</si>
  <si>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</si>
  <si>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</si>
  <si>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</si>
  <si>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</si>
  <si>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</si>
  <si>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</si>
  <si>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</si>
  <si>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</si>
  <si>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</si>
  <si>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</si>
  <si>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</si>
  <si>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</si>
  <si>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</si>
  <si>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</si>
  <si>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</si>
  <si>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</si>
  <si>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</si>
  <si>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</si>
  <si>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</si>
  <si>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</si>
  <si>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</si>
  <si>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</si>
  <si>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</si>
  <si>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</si>
  <si>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</si>
  <si>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Age Group</t>
  </si>
  <si>
    <t>Adult</t>
  </si>
  <si>
    <t>Infants</t>
  </si>
  <si>
    <t>Elderly</t>
  </si>
  <si>
    <t>Child</t>
  </si>
  <si>
    <t>Middle Age</t>
  </si>
  <si>
    <t>Youth</t>
  </si>
  <si>
    <t>Teenager</t>
  </si>
  <si>
    <t>High Cost</t>
  </si>
  <si>
    <t>Low Cost</t>
  </si>
  <si>
    <t>Cost Category</t>
  </si>
  <si>
    <t>Grand Total</t>
  </si>
  <si>
    <t>Patient Count</t>
  </si>
  <si>
    <t>Average of Treatment Cost</t>
  </si>
  <si>
    <t>Average of Recovery Score</t>
  </si>
  <si>
    <t>No of Patient</t>
  </si>
  <si>
    <t>Doctors</t>
  </si>
  <si>
    <t>Treetment type</t>
  </si>
  <si>
    <t>Age group</t>
  </si>
  <si>
    <t>Cost Type</t>
  </si>
  <si>
    <t>Average Age</t>
  </si>
  <si>
    <t>itching</t>
  </si>
  <si>
    <t>bleeding</t>
  </si>
  <si>
    <t>elevation</t>
  </si>
  <si>
    <t>Pain</t>
  </si>
  <si>
    <t>Changed_appearance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</si>
</sst>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809]* #,##0_-;\-[$£-809]* #,##0_-;_-[$£-809]* &quot;-&quot;??_-;_-@_-"/>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164" fontId="0" fillId="0" borderId="0" xfId="0" applyNumberFormat="1"/>
  </cellXfs>
  <cellStyles count="1">
    <cellStyle name="Normal" xfId="0" builtinId="0"/>
  </cellStyles>
  <dxfs count="11">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64" formatCode="_-[$£-809]* #,##0_-;\-[$£-809]* #,##0_-;_-[$£-809]* &quot;-&quot;??_-;_-@_-"/>
    </dxf>
    <dxf>
      <font>
        <b/>
        <i val="0"/>
        <color theme="0"/>
      </font>
      <border diagonalUp="0" diagonalDown="0">
        <left/>
        <right/>
        <top/>
        <bottom/>
        <vertical/>
        <horizontal/>
      </border>
    </dxf>
    <dxf>
      <font>
        <b/>
        <i val="0"/>
        <color theme="0"/>
      </font>
      <fill>
        <patternFill patternType="solid">
          <fgColor theme="7" tint="0.39994506668294322"/>
          <bgColor theme="7" tint="0.39991454817346722"/>
        </patternFill>
      </fill>
      <border diagonalUp="0" diagonalDown="0">
        <left/>
        <right/>
        <top/>
        <bottom/>
        <vertical/>
        <horizontal style="thin">
          <color auto="1"/>
        </horizontal>
      </border>
    </dxf>
  </dxfs>
  <tableStyles count="1" defaultTableStyle="TableStyleMedium9" defaultPivotStyle="PivotStyleLight16">
    <tableStyle name="project slicer" pivot="0" table="0" count="10" xr9:uid="{0C5A418F-1D4D-4D7F-A9D5-E22A94118C6A}">
      <tableStyleElement type="wholeTable" dxfId="10"/>
      <tableStyleElement type="headerRow" dxfId="9"/>
    </tableStyle>
  </tableStyles>
  <colors>
    <mruColors>
      <color rgb="FF4F81BD"/>
    </mruColors>
  </colors>
  <extLst>
    <ext xmlns:x14="http://schemas.microsoft.com/office/spreadsheetml/2009/9/main" uri="{46F421CA-312F-682f-3DD2-61675219B42D}">
      <x14:dxfs count="8">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theme="7" tint="0.59996337778862885"/>
            </patternFill>
          </fill>
          <border diagonalUp="0" diagonalDown="0">
            <left/>
            <right/>
            <top/>
            <bottom/>
            <vertical/>
            <horizontal/>
          </border>
        </dxf>
        <dxf>
          <font>
            <b/>
            <i val="0"/>
            <color theme="0"/>
          </font>
          <fill>
            <patternFill patternType="solid">
              <fgColor auto="1"/>
              <bgColor theme="5" tint="0.79998168889431442"/>
            </patternFill>
          </fill>
          <border diagonalUp="0" diagonalDown="0">
            <left/>
            <right/>
            <top/>
            <bottom/>
            <vertical/>
            <horizontal/>
          </border>
        </dxf>
        <dxf>
          <font>
            <b/>
            <i val="0"/>
            <color theme="0"/>
          </font>
          <fill>
            <patternFill patternType="solid">
              <fgColor theme="4" tint="0.79995117038483843"/>
              <bgColor theme="7" tint="0.59996337778862885"/>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7" tint="0.39994506668294322"/>
            </patternFill>
          </fill>
          <border diagonalUp="0" diagonalDown="0">
            <left/>
            <right/>
            <top/>
            <bottom/>
            <vertical/>
            <horizontal/>
          </border>
        </dxf>
        <dxf>
          <font>
            <color rgb="FF828282"/>
          </font>
          <fill>
            <patternFill patternType="solid">
              <fgColor rgb="FFFFFFFF"/>
              <bgColor theme="7" tint="0.39994506668294322"/>
            </patternFill>
          </fill>
          <border>
            <left style="thin">
              <color rgb="FFE0E0E0"/>
            </left>
            <right style="thin">
              <color rgb="FFE0E0E0"/>
            </right>
            <top style="thin">
              <color rgb="FFE0E0E0"/>
            </top>
            <bottom style="thin">
              <color rgb="FFE0E0E0"/>
            </bottom>
            <vertical/>
            <horizontal/>
          </border>
        </dxf>
        <dxf>
          <font>
            <b/>
            <i val="0"/>
            <color theme="0"/>
          </font>
          <fill>
            <patternFill patternType="solid">
              <fgColor rgb="FFFFFFFF"/>
              <bgColor theme="7" tint="0.39994506668294322"/>
            </patternFill>
          </fill>
          <border diagonalUp="0" diagonalDown="0">
            <left/>
            <right/>
            <top/>
            <bottom/>
            <vertical/>
            <horizontal/>
          </border>
        </dxf>
      </x14:dxfs>
    </ext>
    <ext xmlns:x14="http://schemas.microsoft.com/office/spreadsheetml/2009/9/main" uri="{EB79DEF2-80B8-43e5-95BD-54CBDDF9020C}">
      <x14:slicerStyles defaultSlicerStyle="project slicer">
        <x14:slicerStyle name="projec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 Valley Excel Analysis.xlsx]Workings!Departments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3673614094504"/>
          <c:y val="0.12012368178127157"/>
          <c:w val="0.8671376672778115"/>
          <c:h val="0.64134875564384086"/>
        </c:manualLayout>
      </c:layout>
      <c:barChart>
        <c:barDir val="col"/>
        <c:grouping val="clustered"/>
        <c:varyColors val="0"/>
        <c:ser>
          <c:idx val="0"/>
          <c:order val="0"/>
          <c:tx>
            <c:strRef>
              <c:f>Workings!$C$10</c:f>
              <c:strCache>
                <c:ptCount val="1"/>
                <c:pt idx="0">
                  <c:v>Total</c:v>
                </c:pt>
              </c:strCache>
            </c:strRef>
          </c:tx>
          <c:spPr>
            <a:solidFill>
              <a:schemeClr val="accent1"/>
            </a:solidFill>
            <a:ln>
              <a:noFill/>
            </a:ln>
            <a:effectLst/>
          </c:spPr>
          <c:invertIfNegative val="0"/>
          <c:cat>
            <c:strRef>
              <c:f>Workings!$B$11:$B$18</c:f>
              <c:strCache>
                <c:ptCount val="7"/>
                <c:pt idx="0">
                  <c:v>Dermatology</c:v>
                </c:pt>
                <c:pt idx="1">
                  <c:v>General Medicine</c:v>
                </c:pt>
                <c:pt idx="2">
                  <c:v>Orthopedics</c:v>
                </c:pt>
                <c:pt idx="3">
                  <c:v>Pediatrics</c:v>
                </c:pt>
                <c:pt idx="4">
                  <c:v>Oncology</c:v>
                </c:pt>
                <c:pt idx="5">
                  <c:v>Neurology</c:v>
                </c:pt>
                <c:pt idx="6">
                  <c:v>Cardiology</c:v>
                </c:pt>
              </c:strCache>
            </c:strRef>
          </c:cat>
          <c:val>
            <c:numRef>
              <c:f>Workings!$C$11:$C$18</c:f>
              <c:numCache>
                <c:formatCode>0.00</c:formatCode>
                <c:ptCount val="7"/>
                <c:pt idx="0">
                  <c:v>76.609375</c:v>
                </c:pt>
                <c:pt idx="1">
                  <c:v>76.574074074074076</c:v>
                </c:pt>
                <c:pt idx="2">
                  <c:v>75.518518518518519</c:v>
                </c:pt>
                <c:pt idx="3">
                  <c:v>75.457627118644069</c:v>
                </c:pt>
                <c:pt idx="4">
                  <c:v>75.067796610169495</c:v>
                </c:pt>
                <c:pt idx="5">
                  <c:v>74.982456140350877</c:v>
                </c:pt>
                <c:pt idx="6">
                  <c:v>72.924528301886795</c:v>
                </c:pt>
              </c:numCache>
            </c:numRef>
          </c:val>
          <c:extLst>
            <c:ext xmlns:c16="http://schemas.microsoft.com/office/drawing/2014/chart" uri="{C3380CC4-5D6E-409C-BE32-E72D297353CC}">
              <c16:uniqueId val="{00000000-551C-4240-BCD7-0367435B3BE3}"/>
            </c:ext>
          </c:extLst>
        </c:ser>
        <c:dLbls>
          <c:showLegendKey val="0"/>
          <c:showVal val="0"/>
          <c:showCatName val="0"/>
          <c:showSerName val="0"/>
          <c:showPercent val="0"/>
          <c:showBubbleSize val="0"/>
        </c:dLbls>
        <c:gapWidth val="200"/>
        <c:overlap val="-27"/>
        <c:axId val="1913278991"/>
        <c:axId val="1913278031"/>
      </c:barChart>
      <c:catAx>
        <c:axId val="191327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260000" spcFirstLastPara="1" vertOverflow="ellipsis" wrap="square" anchor="b" anchorCtr="0"/>
          <a:lstStyle/>
          <a:p>
            <a:pPr>
              <a:defRPr sz="900" b="0" i="0" u="none" strike="noStrike" kern="1200" baseline="0">
                <a:solidFill>
                  <a:schemeClr val="bg1"/>
                </a:solidFill>
                <a:latin typeface="+mn-lt"/>
                <a:ea typeface="+mn-ea"/>
                <a:cs typeface="+mn-cs"/>
              </a:defRPr>
            </a:pPr>
            <a:endParaRPr lang="en-US"/>
          </a:p>
        </c:txPr>
        <c:crossAx val="1913278031"/>
        <c:crosses val="autoZero"/>
        <c:auto val="0"/>
        <c:lblAlgn val="ctr"/>
        <c:lblOffset val="100"/>
        <c:noMultiLvlLbl val="0"/>
      </c:catAx>
      <c:valAx>
        <c:axId val="19132780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327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 Valley Excel Analysis.xlsx]Workings!Doctors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09764736780409"/>
          <c:y val="0.14545190804603433"/>
          <c:w val="0.6075827142249719"/>
          <c:h val="0.68647885673101983"/>
        </c:manualLayout>
      </c:layout>
      <c:barChart>
        <c:barDir val="bar"/>
        <c:grouping val="clustered"/>
        <c:varyColors val="0"/>
        <c:ser>
          <c:idx val="0"/>
          <c:order val="0"/>
          <c:tx>
            <c:strRef>
              <c:f>Workings!$C$22</c:f>
              <c:strCache>
                <c:ptCount val="1"/>
                <c:pt idx="0">
                  <c:v>Total</c:v>
                </c:pt>
              </c:strCache>
            </c:strRef>
          </c:tx>
          <c:spPr>
            <a:solidFill>
              <a:schemeClr val="accent1"/>
            </a:solidFill>
            <a:ln>
              <a:noFill/>
            </a:ln>
            <a:effectLst/>
          </c:spPr>
          <c:invertIfNegative val="0"/>
          <c:cat>
            <c:strRef>
              <c:f>Workings!$B$23:$B$33</c:f>
              <c:strCache>
                <c:ptCount val="10"/>
                <c:pt idx="0">
                  <c:v>Dr. Smith</c:v>
                </c:pt>
                <c:pt idx="1">
                  <c:v>Dr. Rodriguez</c:v>
                </c:pt>
                <c:pt idx="2">
                  <c:v>Dr. Martinez</c:v>
                </c:pt>
                <c:pt idx="3">
                  <c:v>Dr. Davis</c:v>
                </c:pt>
                <c:pt idx="4">
                  <c:v>Dr. Brown</c:v>
                </c:pt>
                <c:pt idx="5">
                  <c:v>Dr. Williams</c:v>
                </c:pt>
                <c:pt idx="6">
                  <c:v>Dr. Garcia</c:v>
                </c:pt>
                <c:pt idx="7">
                  <c:v>Dr. Jones</c:v>
                </c:pt>
                <c:pt idx="8">
                  <c:v>Dr. Miller</c:v>
                </c:pt>
                <c:pt idx="9">
                  <c:v>Dr. Johnson</c:v>
                </c:pt>
              </c:strCache>
            </c:strRef>
          </c:cat>
          <c:val>
            <c:numRef>
              <c:f>Workings!$C$23:$C$33</c:f>
              <c:numCache>
                <c:formatCode>0.00</c:formatCode>
                <c:ptCount val="10"/>
                <c:pt idx="0">
                  <c:v>69.777777777777771</c:v>
                </c:pt>
                <c:pt idx="1">
                  <c:v>72.781818181818181</c:v>
                </c:pt>
                <c:pt idx="2">
                  <c:v>73.5</c:v>
                </c:pt>
                <c:pt idx="3">
                  <c:v>74.893617021276597</c:v>
                </c:pt>
                <c:pt idx="4">
                  <c:v>75.290322580645167</c:v>
                </c:pt>
                <c:pt idx="5">
                  <c:v>76.375</c:v>
                </c:pt>
                <c:pt idx="6">
                  <c:v>76.804878048780495</c:v>
                </c:pt>
                <c:pt idx="7">
                  <c:v>76.906976744186053</c:v>
                </c:pt>
                <c:pt idx="8">
                  <c:v>77.230769230769226</c:v>
                </c:pt>
                <c:pt idx="9">
                  <c:v>78.510638297872347</c:v>
                </c:pt>
              </c:numCache>
            </c:numRef>
          </c:val>
          <c:extLst>
            <c:ext xmlns:c16="http://schemas.microsoft.com/office/drawing/2014/chart" uri="{C3380CC4-5D6E-409C-BE32-E72D297353CC}">
              <c16:uniqueId val="{00000000-1572-4D03-9045-28EA7752C321}"/>
            </c:ext>
          </c:extLst>
        </c:ser>
        <c:dLbls>
          <c:showLegendKey val="0"/>
          <c:showVal val="0"/>
          <c:showCatName val="0"/>
          <c:showSerName val="0"/>
          <c:showPercent val="0"/>
          <c:showBubbleSize val="0"/>
        </c:dLbls>
        <c:gapWidth val="100"/>
        <c:axId val="1913281391"/>
        <c:axId val="1913282351"/>
      </c:barChart>
      <c:catAx>
        <c:axId val="1913281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3282351"/>
        <c:crosses val="autoZero"/>
        <c:auto val="1"/>
        <c:lblAlgn val="ctr"/>
        <c:lblOffset val="100"/>
        <c:noMultiLvlLbl val="0"/>
      </c:catAx>
      <c:valAx>
        <c:axId val="1913282351"/>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32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 Valley Excel Analysis.xlsx]Workings!Gender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Patient Distribution by Gender</a:t>
            </a:r>
          </a:p>
        </c:rich>
      </c:tx>
      <c:layout>
        <c:manualLayout>
          <c:xMode val="edge"/>
          <c:yMode val="edge"/>
          <c:x val="3.1109143818697331E-2"/>
          <c:y val="1.514556709500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027777777777778"/>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1111111111111109E-2"/>
              <c:y val="0.13425925925925916"/>
            </c:manualLayout>
          </c:layout>
          <c:spPr>
            <a:solidFill>
              <a:sysClr val="window" lastClr="FFFFFF"/>
            </a:solid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6.8860454943132102E-2"/>
                  <c:h val="0.11673082531350248"/>
                </c:manualLayout>
              </c15:layout>
            </c:ext>
          </c:extLst>
        </c:dLbl>
      </c:pivotFmt>
      <c:pivotFmt>
        <c:idx val="3"/>
        <c:spPr>
          <a:solidFill>
            <a:schemeClr val="accent3"/>
          </a:solidFill>
          <a:ln w="19050">
            <a:solidFill>
              <a:schemeClr val="lt1"/>
            </a:solidFill>
          </a:ln>
          <a:effectLst/>
        </c:spPr>
        <c:dLbl>
          <c:idx val="0"/>
          <c:layout>
            <c:manualLayout>
              <c:x val="0.10555566491688539"/>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0532808398950115E-2"/>
                  <c:h val="7.5064158646835813E-2"/>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1111111111111109E-2"/>
              <c:y val="0.13425925925925916"/>
            </c:manualLayout>
          </c:layout>
          <c:spPr>
            <a:solidFill>
              <a:sysClr val="window" lastClr="FFFFFF"/>
            </a:solid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6.8860454943132102E-2"/>
                  <c:h val="0.11673082531350248"/>
                </c:manualLayout>
              </c15:layout>
            </c:ext>
          </c:extLst>
        </c:dLbl>
      </c:pivotFmt>
      <c:pivotFmt>
        <c:idx val="6"/>
        <c:spPr>
          <a:solidFill>
            <a:schemeClr val="accent1"/>
          </a:solidFill>
          <a:ln w="19050">
            <a:solidFill>
              <a:schemeClr val="lt1"/>
            </a:solidFill>
          </a:ln>
          <a:effectLst/>
        </c:spPr>
        <c:dLbl>
          <c:idx val="0"/>
          <c:layout>
            <c:manualLayout>
              <c:x val="-0.1027777777777778"/>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66491688539"/>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0532808398950115E-2"/>
                  <c:h val="7.5064158646835813E-2"/>
                </c:manualLayout>
              </c15:layout>
            </c:ext>
          </c:extLst>
        </c:dLbl>
      </c:pivotFmt>
      <c:pivotFmt>
        <c:idx val="8"/>
        <c:spPr>
          <a:solidFill>
            <a:schemeClr val="accent1"/>
          </a:solidFill>
          <a:ln w="19050">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4721613824293242"/>
              <c:y val="0.12759265091863506"/>
            </c:manualLayout>
          </c:layout>
          <c:spPr>
            <a:noFill/>
            <a:ln>
              <a:solidFill>
                <a:sysClr val="window" lastClr="FFFFFF"/>
              </a:solid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86518059732909"/>
                  <c:h val="0.19673070866141731"/>
                </c:manualLayout>
              </c15:layout>
            </c:ext>
          </c:extLst>
        </c:dLbl>
      </c:pivotFmt>
      <c:pivotFmt>
        <c:idx val="10"/>
        <c:spPr>
          <a:solidFill>
            <a:schemeClr val="accent1"/>
          </a:solidFill>
          <a:ln w="19050">
            <a:noFill/>
          </a:ln>
          <a:effectLst/>
        </c:spPr>
        <c:dLbl>
          <c:idx val="0"/>
          <c:layout>
            <c:manualLayout>
              <c:x val="-0.19298292625915772"/>
              <c:y val="0.12333333333333334"/>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30441678047096343"/>
              <c:y val="2.05553222513851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3754105071752"/>
                  <c:h val="0.14839737532808395"/>
                </c:manualLayout>
              </c15:layout>
            </c:ext>
          </c:extLst>
        </c:dLbl>
      </c:pivotFmt>
    </c:pivotFmts>
    <c:plotArea>
      <c:layout>
        <c:manualLayout>
          <c:layoutTarget val="inner"/>
          <c:xMode val="edge"/>
          <c:yMode val="edge"/>
          <c:x val="0.31742760408020754"/>
          <c:y val="0.19641576950095269"/>
          <c:w val="0.426788310515404"/>
          <c:h val="0.67975758100518635"/>
        </c:manualLayout>
      </c:layout>
      <c:doughnutChart>
        <c:varyColors val="1"/>
        <c:ser>
          <c:idx val="0"/>
          <c:order val="0"/>
          <c:tx>
            <c:strRef>
              <c:f>Workings!$C$37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8EF-48B7-A9AF-110720811CDD}"/>
              </c:ext>
            </c:extLst>
          </c:dPt>
          <c:dPt>
            <c:idx val="1"/>
            <c:bubble3D val="0"/>
            <c:spPr>
              <a:solidFill>
                <a:schemeClr val="accent2"/>
              </a:solidFill>
              <a:ln w="19050">
                <a:noFill/>
              </a:ln>
              <a:effectLst/>
            </c:spPr>
            <c:extLst>
              <c:ext xmlns:c16="http://schemas.microsoft.com/office/drawing/2014/chart" uri="{C3380CC4-5D6E-409C-BE32-E72D297353CC}">
                <c16:uniqueId val="{00000003-88EF-48B7-A9AF-110720811CDD}"/>
              </c:ext>
            </c:extLst>
          </c:dPt>
          <c:dPt>
            <c:idx val="2"/>
            <c:bubble3D val="0"/>
            <c:spPr>
              <a:solidFill>
                <a:schemeClr val="accent3"/>
              </a:solidFill>
              <a:ln w="19050">
                <a:noFill/>
              </a:ln>
              <a:effectLst/>
            </c:spPr>
            <c:extLst>
              <c:ext xmlns:c16="http://schemas.microsoft.com/office/drawing/2014/chart" uri="{C3380CC4-5D6E-409C-BE32-E72D297353CC}">
                <c16:uniqueId val="{00000005-88EF-48B7-A9AF-110720811CDD}"/>
              </c:ext>
            </c:extLst>
          </c:dPt>
          <c:dLbls>
            <c:dLbl>
              <c:idx val="0"/>
              <c:layout>
                <c:manualLayout>
                  <c:x val="0.14721613824293242"/>
                  <c:y val="0.12759265091863506"/>
                </c:manualLayout>
              </c:layout>
              <c:spPr>
                <a:noFill/>
                <a:ln>
                  <a:solidFill>
                    <a:sysClr val="window" lastClr="FFFFFF"/>
                  </a:solid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86518059732909"/>
                      <c:h val="0.19673070866141731"/>
                    </c:manualLayout>
                  </c15:layout>
                </c:ext>
                <c:ext xmlns:c16="http://schemas.microsoft.com/office/drawing/2014/chart" uri="{C3380CC4-5D6E-409C-BE32-E72D297353CC}">
                  <c16:uniqueId val="{00000001-88EF-48B7-A9AF-110720811CDD}"/>
                </c:ext>
              </c:extLst>
            </c:dLbl>
            <c:dLbl>
              <c:idx val="1"/>
              <c:layout>
                <c:manualLayout>
                  <c:x val="-0.19298292625915772"/>
                  <c:y val="0.12333333333333334"/>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8EF-48B7-A9AF-110720811CDD}"/>
                </c:ext>
              </c:extLst>
            </c:dLbl>
            <c:dLbl>
              <c:idx val="2"/>
              <c:layout>
                <c:manualLayout>
                  <c:x val="0.30441678047096343"/>
                  <c:y val="2.05553222513851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3754105071752"/>
                      <c:h val="0.14839737532808395"/>
                    </c:manualLayout>
                  </c15:layout>
                </c:ext>
                <c:ext xmlns:c16="http://schemas.microsoft.com/office/drawing/2014/chart" uri="{C3380CC4-5D6E-409C-BE32-E72D297353CC}">
                  <c16:uniqueId val="{00000005-88EF-48B7-A9AF-110720811CDD}"/>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Workings!$B$38:$B$41</c:f>
              <c:strCache>
                <c:ptCount val="3"/>
                <c:pt idx="0">
                  <c:v>Male</c:v>
                </c:pt>
                <c:pt idx="1">
                  <c:v>Female</c:v>
                </c:pt>
                <c:pt idx="2">
                  <c:v>Other</c:v>
                </c:pt>
              </c:strCache>
            </c:strRef>
          </c:cat>
          <c:val>
            <c:numRef>
              <c:f>Workings!$C$38:$C$41</c:f>
              <c:numCache>
                <c:formatCode>0</c:formatCode>
                <c:ptCount val="3"/>
                <c:pt idx="0">
                  <c:v>206</c:v>
                </c:pt>
                <c:pt idx="1">
                  <c:v>189</c:v>
                </c:pt>
                <c:pt idx="2">
                  <c:v>5</c:v>
                </c:pt>
              </c:numCache>
            </c:numRef>
          </c:val>
          <c:extLst>
            <c:ext xmlns:c16="http://schemas.microsoft.com/office/drawing/2014/chart" uri="{C3380CC4-5D6E-409C-BE32-E72D297353CC}">
              <c16:uniqueId val="{00000006-88EF-48B7-A9AF-110720811CDD}"/>
            </c:ext>
          </c:extLst>
        </c:ser>
        <c:dLbls>
          <c:showLegendKey val="0"/>
          <c:showVal val="1"/>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 Valley Excel Analysis.xlsx]Workings!Cost_Category</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600682593856654"/>
              <c:y val="5.2631578947368418E-2"/>
            </c:manualLayout>
          </c:layout>
          <c:spPr>
            <a:noFill/>
            <a:ln>
              <a:noFill/>
            </a:ln>
            <a:effectLst/>
          </c:spPr>
          <c:txPr>
            <a:bodyPr rot="0" spcFirstLastPara="1" vertOverflow="overflow" horzOverflow="overflow"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2"/>
          </a:solidFill>
          <a:ln w="19050">
            <a:solidFill>
              <a:schemeClr val="lt1"/>
            </a:solidFill>
          </a:ln>
          <a:effectLst/>
        </c:spPr>
        <c:dLbl>
          <c:idx val="0"/>
          <c:layout>
            <c:manualLayout>
              <c:x val="-0.15187713310580206"/>
              <c:y val="1.23841447063699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3679180887372014"/>
                  <c:h val="0.22891640866873064"/>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600682593856654"/>
              <c:y val="5.2631578947368418E-2"/>
            </c:manualLayout>
          </c:layout>
          <c:spPr>
            <a:noFill/>
            <a:ln>
              <a:noFill/>
            </a:ln>
            <a:effectLst/>
          </c:spPr>
          <c:txPr>
            <a:bodyPr rot="0" spcFirstLastPara="1" vertOverflow="overflow" horzOverflow="overflow"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dLbl>
          <c:idx val="0"/>
          <c:layout>
            <c:manualLayout>
              <c:x val="-0.15187713310580206"/>
              <c:y val="1.23841447063699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3679180887372014"/>
                  <c:h val="0.22891640866873064"/>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31978999876832132"/>
              <c:y val="4.2169173451083161E-2"/>
            </c:manualLayout>
          </c:layout>
          <c:spPr>
            <a:noFill/>
            <a:ln>
              <a:noFill/>
            </a:ln>
            <a:effectLst/>
          </c:spPr>
          <c:txPr>
            <a:bodyPr rot="0" spcFirstLastPara="1" vertOverflow="overflow" horzOverflow="overflow" vert="horz" wrap="square" lIns="38100" tIns="19050" rIns="38100" bIns="19050" anchor="t"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noFill/>
          </a:ln>
          <a:effectLst/>
        </c:spPr>
        <c:dLbl>
          <c:idx val="0"/>
          <c:layout>
            <c:manualLayout>
              <c:x val="-0.34786594139719101"/>
              <c:y val="-3.13998097494441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723622626587406"/>
                  <c:h val="0.22995495820195283"/>
                </c:manualLayout>
              </c15:layout>
            </c:ext>
          </c:extLst>
        </c:dLbl>
      </c:pivotFmt>
    </c:pivotFmts>
    <c:plotArea>
      <c:layout>
        <c:manualLayout>
          <c:layoutTarget val="inner"/>
          <c:xMode val="edge"/>
          <c:yMode val="edge"/>
          <c:x val="0.16031348135300019"/>
          <c:y val="0.2907357777238373"/>
          <c:w val="0.60677427090188518"/>
          <c:h val="0.65837650419128624"/>
        </c:manualLayout>
      </c:layout>
      <c:doughnutChart>
        <c:varyColors val="1"/>
        <c:ser>
          <c:idx val="0"/>
          <c:order val="0"/>
          <c:tx>
            <c:strRef>
              <c:f>Workings!$C$68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74E-4FB7-9319-895074764AD7}"/>
              </c:ext>
            </c:extLst>
          </c:dPt>
          <c:dPt>
            <c:idx val="1"/>
            <c:bubble3D val="0"/>
            <c:spPr>
              <a:solidFill>
                <a:schemeClr val="accent2"/>
              </a:solidFill>
              <a:ln w="19050">
                <a:noFill/>
              </a:ln>
              <a:effectLst/>
            </c:spPr>
            <c:extLst>
              <c:ext xmlns:c16="http://schemas.microsoft.com/office/drawing/2014/chart" uri="{C3380CC4-5D6E-409C-BE32-E72D297353CC}">
                <c16:uniqueId val="{00000003-D74E-4FB7-9319-895074764AD7}"/>
              </c:ext>
            </c:extLst>
          </c:dPt>
          <c:dLbls>
            <c:dLbl>
              <c:idx val="0"/>
              <c:layout>
                <c:manualLayout>
                  <c:x val="0.31978999876832132"/>
                  <c:y val="4.2169173451083161E-2"/>
                </c:manualLayout>
              </c:layout>
              <c:spPr>
                <a:noFill/>
                <a:ln>
                  <a:noFill/>
                </a:ln>
                <a:effectLst/>
              </c:spPr>
              <c:txPr>
                <a:bodyPr rot="0" spcFirstLastPara="1" vertOverflow="overflow" horzOverflow="overflow" vert="horz" wrap="square" lIns="38100" tIns="19050" rIns="38100" bIns="19050" anchor="t"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D74E-4FB7-9319-895074764AD7}"/>
                </c:ext>
              </c:extLst>
            </c:dLbl>
            <c:dLbl>
              <c:idx val="1"/>
              <c:layout>
                <c:manualLayout>
                  <c:x val="-0.34786594139719101"/>
                  <c:y val="-3.13998097494441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723622626587406"/>
                      <c:h val="0.22995495820195283"/>
                    </c:manualLayout>
                  </c15:layout>
                </c:ext>
                <c:ext xmlns:c16="http://schemas.microsoft.com/office/drawing/2014/chart" uri="{C3380CC4-5D6E-409C-BE32-E72D297353CC}">
                  <c16:uniqueId val="{00000003-D74E-4FB7-9319-895074764A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Workings!$B$69:$B$71</c:f>
              <c:strCache>
                <c:ptCount val="2"/>
                <c:pt idx="0">
                  <c:v>High Cost</c:v>
                </c:pt>
                <c:pt idx="1">
                  <c:v>Low Cost</c:v>
                </c:pt>
              </c:strCache>
            </c:strRef>
          </c:cat>
          <c:val>
            <c:numRef>
              <c:f>Workings!$C$69:$C$71</c:f>
              <c:numCache>
                <c:formatCode>0</c:formatCode>
                <c:ptCount val="2"/>
                <c:pt idx="0">
                  <c:v>81</c:v>
                </c:pt>
                <c:pt idx="1">
                  <c:v>319</c:v>
                </c:pt>
              </c:numCache>
            </c:numRef>
          </c:val>
          <c:extLst>
            <c:ext xmlns:c16="http://schemas.microsoft.com/office/drawing/2014/chart" uri="{C3380CC4-5D6E-409C-BE32-E72D297353CC}">
              <c16:uniqueId val="{00000004-D74E-4FB7-9319-895074764AD7}"/>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Avg Recovery Score by Age Group</cx:v>
        </cx:txData>
      </cx:tx>
      <cx:spPr>
        <a:ln>
          <a:noFill/>
        </a:ln>
      </cx:spPr>
      <cx:txPr>
        <a:bodyPr spcFirstLastPara="1" vertOverflow="ellipsis" horzOverflow="overflow" wrap="square" lIns="0" tIns="0" rIns="0" bIns="0" anchor="ctr" anchorCtr="1"/>
        <a:lstStyle/>
        <a:p>
          <a:pPr algn="ctr" rtl="0">
            <a:defRPr/>
          </a:pPr>
          <a:r>
            <a:rPr lang="en-US" sz="1200" b="1" i="0" u="none" strike="noStrike" baseline="0">
              <a:ln>
                <a:noFill/>
              </a:ln>
              <a:solidFill>
                <a:schemeClr val="bg1"/>
              </a:solidFill>
              <a:latin typeface="Georgia" panose="02040502050405020303" pitchFamily="18" charset="0"/>
            </a:rPr>
            <a:t>Avg Recovery Score by Age Group</a:t>
          </a:r>
        </a:p>
      </cx:txPr>
    </cx:title>
    <cx:plotArea>
      <cx:plotAreaRegion>
        <cx:series layoutId="treemap" uniqueId="{00000000-9869-414E-B031-C8C2949AA35C}">
          <cx:tx>
            <cx:txData>
              <cx:f>_xlchart.v1.1</cx:f>
              <cx:v>Average of Recovery Score</cx:v>
            </cx:txData>
          </cx:tx>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solidFill>
                <a:schemeClr val="bg1"/>
              </a:solidFill>
            </a:defRPr>
          </a:pPr>
          <a:r>
            <a:rPr lang="en-US" sz="1200" b="1" i="0" u="none" strike="noStrike" baseline="0">
              <a:solidFill>
                <a:schemeClr val="bg1"/>
              </a:solidFill>
              <a:latin typeface="Georgia" panose="02040502050405020303" pitchFamily="18" charset="0"/>
            </a:rPr>
            <a:t>Avg Recovery Score by Treatment type</a:t>
          </a:r>
        </a:p>
      </cx:txPr>
    </cx:title>
    <cx:plotArea>
      <cx:plotAreaRegion>
        <cx:series layoutId="funnel" uniqueId="{00000000-9A3D-4AC1-81FD-22D4B8A54ED3}">
          <cx:tx>
            <cx:txData>
              <cx:f>_xlchart.v2.4</cx:f>
              <cx:v>Average of Recovery Score</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emf"/><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10586</xdr:colOff>
      <xdr:row>1</xdr:row>
      <xdr:rowOff>140452</xdr:rowOff>
    </xdr:from>
    <xdr:to>
      <xdr:col>22</xdr:col>
      <xdr:colOff>311859</xdr:colOff>
      <xdr:row>3</xdr:row>
      <xdr:rowOff>35939</xdr:rowOff>
    </xdr:to>
    <xdr:sp macro="" textlink="">
      <xdr:nvSpPr>
        <xdr:cNvPr id="2" name="Rectangle 1">
          <a:extLst>
            <a:ext uri="{FF2B5EF4-FFF2-40B4-BE49-F238E27FC236}">
              <a16:creationId xmlns:a16="http://schemas.microsoft.com/office/drawing/2014/main" id="{881D4FE4-658E-64C8-9E51-828722B6CA60}"/>
            </a:ext>
          </a:extLst>
        </xdr:cNvPr>
        <xdr:cNvSpPr/>
      </xdr:nvSpPr>
      <xdr:spPr>
        <a:xfrm>
          <a:off x="617571" y="327217"/>
          <a:ext cx="13047964" cy="269016"/>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0</xdr:colOff>
      <xdr:row>1</xdr:row>
      <xdr:rowOff>173568</xdr:rowOff>
    </xdr:from>
    <xdr:to>
      <xdr:col>15</xdr:col>
      <xdr:colOff>134055</xdr:colOff>
      <xdr:row>3</xdr:row>
      <xdr:rowOff>21167</xdr:rowOff>
    </xdr:to>
    <xdr:sp macro="" textlink="">
      <xdr:nvSpPr>
        <xdr:cNvPr id="3" name="TextBox 2">
          <a:extLst>
            <a:ext uri="{FF2B5EF4-FFF2-40B4-BE49-F238E27FC236}">
              <a16:creationId xmlns:a16="http://schemas.microsoft.com/office/drawing/2014/main" id="{1C23F60A-D5A4-30F2-52F0-F61AEBDA30DE}"/>
            </a:ext>
          </a:extLst>
        </xdr:cNvPr>
        <xdr:cNvSpPr txBox="1"/>
      </xdr:nvSpPr>
      <xdr:spPr>
        <a:xfrm>
          <a:off x="3033889" y="173568"/>
          <a:ext cx="5595055" cy="214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latin typeface="Georgia" panose="02040502050405020303" pitchFamily="18" charset="0"/>
            </a:rPr>
            <a:t>Green Valley Medical Center Dashboard</a:t>
          </a:r>
        </a:p>
      </xdr:txBody>
    </xdr:sp>
    <xdr:clientData/>
  </xdr:twoCellAnchor>
  <xdr:twoCellAnchor>
    <xdr:from>
      <xdr:col>1</xdr:col>
      <xdr:colOff>10586</xdr:colOff>
      <xdr:row>14</xdr:row>
      <xdr:rowOff>81111</xdr:rowOff>
    </xdr:from>
    <xdr:to>
      <xdr:col>4</xdr:col>
      <xdr:colOff>241302</xdr:colOff>
      <xdr:row>17</xdr:row>
      <xdr:rowOff>160778</xdr:rowOff>
    </xdr:to>
    <xdr:sp macro="" textlink="Workings!B5">
      <xdr:nvSpPr>
        <xdr:cNvPr id="5" name="Rectangle 4">
          <a:extLst>
            <a:ext uri="{FF2B5EF4-FFF2-40B4-BE49-F238E27FC236}">
              <a16:creationId xmlns:a16="http://schemas.microsoft.com/office/drawing/2014/main" id="{1C10B32F-F9BA-2CAC-8109-BA0EF636B8E3}"/>
            </a:ext>
          </a:extLst>
        </xdr:cNvPr>
        <xdr:cNvSpPr/>
      </xdr:nvSpPr>
      <xdr:spPr>
        <a:xfrm>
          <a:off x="10586" y="2465889"/>
          <a:ext cx="2051049" cy="630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30AFE7F-F3E3-436C-9B44-140C321AFF03}" type="TxLink">
            <a:rPr lang="en-US" sz="1800" b="1" i="0" u="none" strike="noStrike">
              <a:solidFill>
                <a:schemeClr val="bg1"/>
              </a:solidFill>
              <a:latin typeface="Georgia" panose="02040502050405020303" pitchFamily="18" charset="0"/>
              <a:ea typeface="Calibri"/>
              <a:cs typeface="Calibri"/>
            </a:rPr>
            <a:pPr algn="ctr"/>
            <a:t>400</a:t>
          </a:fld>
          <a:endParaRPr lang="en-GB" sz="1800" b="1">
            <a:solidFill>
              <a:schemeClr val="bg1"/>
            </a:solidFill>
            <a:latin typeface="Georgia" panose="02040502050405020303" pitchFamily="18" charset="0"/>
          </a:endParaRPr>
        </a:p>
      </xdr:txBody>
    </xdr:sp>
    <xdr:clientData/>
  </xdr:twoCellAnchor>
  <xdr:twoCellAnchor>
    <xdr:from>
      <xdr:col>1</xdr:col>
      <xdr:colOff>10586</xdr:colOff>
      <xdr:row>3</xdr:row>
      <xdr:rowOff>109360</xdr:rowOff>
    </xdr:from>
    <xdr:to>
      <xdr:col>6</xdr:col>
      <xdr:colOff>381000</xdr:colOff>
      <xdr:row>14</xdr:row>
      <xdr:rowOff>31749</xdr:rowOff>
    </xdr:to>
    <xdr:sp macro="" textlink="">
      <xdr:nvSpPr>
        <xdr:cNvPr id="8" name="Rectangle 7">
          <a:extLst>
            <a:ext uri="{FF2B5EF4-FFF2-40B4-BE49-F238E27FC236}">
              <a16:creationId xmlns:a16="http://schemas.microsoft.com/office/drawing/2014/main" id="{0DD8BCBA-A6EE-A70F-9D6F-40ABB461384F}"/>
            </a:ext>
          </a:extLst>
        </xdr:cNvPr>
        <xdr:cNvSpPr/>
      </xdr:nvSpPr>
      <xdr:spPr>
        <a:xfrm>
          <a:off x="10586" y="476249"/>
          <a:ext cx="3404303" cy="1940278"/>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448027</xdr:colOff>
      <xdr:row>3</xdr:row>
      <xdr:rowOff>109360</xdr:rowOff>
    </xdr:from>
    <xdr:to>
      <xdr:col>12</xdr:col>
      <xdr:colOff>186972</xdr:colOff>
      <xdr:row>14</xdr:row>
      <xdr:rowOff>24692</xdr:rowOff>
    </xdr:to>
    <xdr:sp macro="" textlink="">
      <xdr:nvSpPr>
        <xdr:cNvPr id="9" name="Rectangle 8">
          <a:extLst>
            <a:ext uri="{FF2B5EF4-FFF2-40B4-BE49-F238E27FC236}">
              <a16:creationId xmlns:a16="http://schemas.microsoft.com/office/drawing/2014/main" id="{1CECC22A-B125-3AA9-766B-A076D748786A}"/>
            </a:ext>
          </a:extLst>
        </xdr:cNvPr>
        <xdr:cNvSpPr/>
      </xdr:nvSpPr>
      <xdr:spPr>
        <a:xfrm>
          <a:off x="3481916" y="476249"/>
          <a:ext cx="3379612" cy="1933221"/>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254000</xdr:colOff>
      <xdr:row>3</xdr:row>
      <xdr:rowOff>109360</xdr:rowOff>
    </xdr:from>
    <xdr:to>
      <xdr:col>18</xdr:col>
      <xdr:colOff>84668</xdr:colOff>
      <xdr:row>14</xdr:row>
      <xdr:rowOff>38803</xdr:rowOff>
    </xdr:to>
    <xdr:sp macro="" textlink="">
      <xdr:nvSpPr>
        <xdr:cNvPr id="10" name="Rectangle 9">
          <a:extLst>
            <a:ext uri="{FF2B5EF4-FFF2-40B4-BE49-F238E27FC236}">
              <a16:creationId xmlns:a16="http://schemas.microsoft.com/office/drawing/2014/main" id="{4751B80C-F9E2-1A51-1ECD-CEA3365D82E4}"/>
            </a:ext>
          </a:extLst>
        </xdr:cNvPr>
        <xdr:cNvSpPr/>
      </xdr:nvSpPr>
      <xdr:spPr>
        <a:xfrm>
          <a:off x="6928556" y="476249"/>
          <a:ext cx="3471334" cy="1947332"/>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277988</xdr:colOff>
      <xdr:row>14</xdr:row>
      <xdr:rowOff>87690</xdr:rowOff>
    </xdr:from>
    <xdr:to>
      <xdr:col>8</xdr:col>
      <xdr:colOff>586877</xdr:colOff>
      <xdr:row>28</xdr:row>
      <xdr:rowOff>111468</xdr:rowOff>
    </xdr:to>
    <xdr:sp macro="" textlink="">
      <xdr:nvSpPr>
        <xdr:cNvPr id="11" name="Rectangle 10">
          <a:extLst>
            <a:ext uri="{FF2B5EF4-FFF2-40B4-BE49-F238E27FC236}">
              <a16:creationId xmlns:a16="http://schemas.microsoft.com/office/drawing/2014/main" id="{04FAB8CC-41E7-C101-9406-30B6C004BCB0}"/>
            </a:ext>
          </a:extLst>
        </xdr:cNvPr>
        <xdr:cNvSpPr/>
      </xdr:nvSpPr>
      <xdr:spPr>
        <a:xfrm>
          <a:off x="2098321" y="2472468"/>
          <a:ext cx="2736000" cy="2592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4938</xdr:colOff>
      <xdr:row>14</xdr:row>
      <xdr:rowOff>87690</xdr:rowOff>
    </xdr:from>
    <xdr:to>
      <xdr:col>13</xdr:col>
      <xdr:colOff>313827</xdr:colOff>
      <xdr:row>28</xdr:row>
      <xdr:rowOff>111468</xdr:rowOff>
    </xdr:to>
    <xdr:sp macro="" textlink="">
      <xdr:nvSpPr>
        <xdr:cNvPr id="12" name="Rectangle 11">
          <a:extLst>
            <a:ext uri="{FF2B5EF4-FFF2-40B4-BE49-F238E27FC236}">
              <a16:creationId xmlns:a16="http://schemas.microsoft.com/office/drawing/2014/main" id="{DEBFAA2E-76A0-405B-9173-18C2972E523C}"/>
            </a:ext>
          </a:extLst>
        </xdr:cNvPr>
        <xdr:cNvSpPr/>
      </xdr:nvSpPr>
      <xdr:spPr>
        <a:xfrm>
          <a:off x="4859160" y="2472468"/>
          <a:ext cx="2736000" cy="2592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345722</xdr:colOff>
      <xdr:row>14</xdr:row>
      <xdr:rowOff>87690</xdr:rowOff>
    </xdr:from>
    <xdr:to>
      <xdr:col>18</xdr:col>
      <xdr:colOff>84667</xdr:colOff>
      <xdr:row>28</xdr:row>
      <xdr:rowOff>111468</xdr:rowOff>
    </xdr:to>
    <xdr:sp macro="" textlink="">
      <xdr:nvSpPr>
        <xdr:cNvPr id="13" name="Rectangle 12">
          <a:extLst>
            <a:ext uri="{FF2B5EF4-FFF2-40B4-BE49-F238E27FC236}">
              <a16:creationId xmlns:a16="http://schemas.microsoft.com/office/drawing/2014/main" id="{16827125-28F4-8958-4D14-D0002ACBB68B}"/>
            </a:ext>
          </a:extLst>
        </xdr:cNvPr>
        <xdr:cNvSpPr/>
      </xdr:nvSpPr>
      <xdr:spPr>
        <a:xfrm>
          <a:off x="7629546" y="2515631"/>
          <a:ext cx="2773871" cy="2638484"/>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18</xdr:col>
      <xdr:colOff>130713</xdr:colOff>
      <xdr:row>3</xdr:row>
      <xdr:rowOff>109359</xdr:rowOff>
    </xdr:from>
    <xdr:to>
      <xdr:col>22</xdr:col>
      <xdr:colOff>302802</xdr:colOff>
      <xdr:row>12</xdr:row>
      <xdr:rowOff>77611</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587123D0-92A0-4712-AB6E-974D7FF7006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580198" y="669653"/>
              <a:ext cx="2600030" cy="16491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130713</xdr:colOff>
      <xdr:row>12</xdr:row>
      <xdr:rowOff>119945</xdr:rowOff>
    </xdr:from>
    <xdr:to>
      <xdr:col>22</xdr:col>
      <xdr:colOff>302802</xdr:colOff>
      <xdr:row>19</xdr:row>
      <xdr:rowOff>21167</xdr:rowOff>
    </xdr:to>
    <mc:AlternateContent xmlns:mc="http://schemas.openxmlformats.org/markup-compatibility/2006" xmlns:a14="http://schemas.microsoft.com/office/drawing/2010/main">
      <mc:Choice Requires="a14">
        <xdr:graphicFrame macro="">
          <xdr:nvGraphicFramePr>
            <xdr:cNvPr id="15" name="Doctor Name">
              <a:extLst>
                <a:ext uri="{FF2B5EF4-FFF2-40B4-BE49-F238E27FC236}">
                  <a16:creationId xmlns:a16="http://schemas.microsoft.com/office/drawing/2014/main" id="{8989C5E4-CCE8-415B-933D-C6B1C0A312B6}"/>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0580198" y="2361121"/>
              <a:ext cx="2600030" cy="1208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144824</xdr:colOff>
      <xdr:row>19</xdr:row>
      <xdr:rowOff>70556</xdr:rowOff>
    </xdr:from>
    <xdr:to>
      <xdr:col>22</xdr:col>
      <xdr:colOff>316913</xdr:colOff>
      <xdr:row>24</xdr:row>
      <xdr:rowOff>134055</xdr:rowOff>
    </xdr:to>
    <mc:AlternateContent xmlns:mc="http://schemas.openxmlformats.org/markup-compatibility/2006" xmlns:a14="http://schemas.microsoft.com/office/drawing/2010/main">
      <mc:Choice Requires="a14">
        <xdr:graphicFrame macro="">
          <xdr:nvGraphicFramePr>
            <xdr:cNvPr id="16" name="Treatment Type">
              <a:extLst>
                <a:ext uri="{FF2B5EF4-FFF2-40B4-BE49-F238E27FC236}">
                  <a16:creationId xmlns:a16="http://schemas.microsoft.com/office/drawing/2014/main" id="{15B437F7-4F54-4952-A0D6-D5B54DCBAA44}"/>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594309" y="3619085"/>
              <a:ext cx="2600030" cy="9973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130713</xdr:colOff>
      <xdr:row>24</xdr:row>
      <xdr:rowOff>174970</xdr:rowOff>
    </xdr:from>
    <xdr:to>
      <xdr:col>22</xdr:col>
      <xdr:colOff>302802</xdr:colOff>
      <xdr:row>28</xdr:row>
      <xdr:rowOff>111468</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DE940B2C-B933-4AF5-BA70-8A8EEAFCE8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80198" y="4657323"/>
              <a:ext cx="2600030" cy="683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372113</xdr:colOff>
      <xdr:row>14</xdr:row>
      <xdr:rowOff>176387</xdr:rowOff>
    </xdr:from>
    <xdr:to>
      <xdr:col>8</xdr:col>
      <xdr:colOff>465667</xdr:colOff>
      <xdr:row>28</xdr:row>
      <xdr:rowOff>7056</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0405D8D-41BE-43E9-8C94-4B1756A1BC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27913" y="2754487"/>
              <a:ext cx="2531954" cy="240876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470899</xdr:colOff>
      <xdr:row>3</xdr:row>
      <xdr:rowOff>112889</xdr:rowOff>
    </xdr:from>
    <xdr:to>
      <xdr:col>12</xdr:col>
      <xdr:colOff>197554</xdr:colOff>
      <xdr:row>14</xdr:row>
      <xdr:rowOff>14270</xdr:rowOff>
    </xdr:to>
    <xdr:graphicFrame macro="">
      <xdr:nvGraphicFramePr>
        <xdr:cNvPr id="19" name="Chart 18">
          <a:extLst>
            <a:ext uri="{FF2B5EF4-FFF2-40B4-BE49-F238E27FC236}">
              <a16:creationId xmlns:a16="http://schemas.microsoft.com/office/drawing/2014/main" id="{E25F6EE4-BCF8-48E7-B500-B2D4FF254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536221</xdr:colOff>
      <xdr:row>14</xdr:row>
      <xdr:rowOff>162278</xdr:rowOff>
    </xdr:from>
    <xdr:to>
      <xdr:col>17</xdr:col>
      <xdr:colOff>592667</xdr:colOff>
      <xdr:row>27</xdr:row>
      <xdr:rowOff>183443</xdr:rowOff>
    </xdr:to>
    <xdr:graphicFrame macro="">
      <xdr:nvGraphicFramePr>
        <xdr:cNvPr id="20" name="Chart 19">
          <a:extLst>
            <a:ext uri="{FF2B5EF4-FFF2-40B4-BE49-F238E27FC236}">
              <a16:creationId xmlns:a16="http://schemas.microsoft.com/office/drawing/2014/main" id="{6010C952-1DCB-45F6-B455-FF9FF2AC9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17642</xdr:colOff>
      <xdr:row>18</xdr:row>
      <xdr:rowOff>15410</xdr:rowOff>
    </xdr:from>
    <xdr:to>
      <xdr:col>4</xdr:col>
      <xdr:colOff>248358</xdr:colOff>
      <xdr:row>21</xdr:row>
      <xdr:rowOff>95077</xdr:rowOff>
    </xdr:to>
    <xdr:sp macro="" textlink="Workings!D5">
      <xdr:nvSpPr>
        <xdr:cNvPr id="27" name="Rectangle 26">
          <a:extLst>
            <a:ext uri="{FF2B5EF4-FFF2-40B4-BE49-F238E27FC236}">
              <a16:creationId xmlns:a16="http://schemas.microsoft.com/office/drawing/2014/main" id="{8A9867C8-642E-7B4B-DB7C-636600753CC5}"/>
            </a:ext>
          </a:extLst>
        </xdr:cNvPr>
        <xdr:cNvSpPr/>
      </xdr:nvSpPr>
      <xdr:spPr>
        <a:xfrm>
          <a:off x="17642" y="3133966"/>
          <a:ext cx="2051049" cy="630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1E3CBC-AE90-4065-A75A-CC592E01A5FB}" type="TxLink">
            <a:rPr lang="en-US" sz="1200" b="1" i="0" u="none" strike="noStrike">
              <a:solidFill>
                <a:schemeClr val="bg1"/>
              </a:solidFill>
              <a:latin typeface="Georgia" panose="02040502050405020303" pitchFamily="18" charset="0"/>
              <a:ea typeface="Calibri"/>
              <a:cs typeface="Calibri"/>
            </a:rPr>
            <a:pPr algn="ctr"/>
            <a:t> £5,052 </a:t>
          </a:fld>
          <a:endParaRPr lang="en-GB" sz="1200" b="1">
            <a:solidFill>
              <a:schemeClr val="bg1"/>
            </a:solidFill>
            <a:latin typeface="Georgia" panose="02040502050405020303" pitchFamily="18" charset="0"/>
          </a:endParaRPr>
        </a:p>
      </xdr:txBody>
    </xdr:sp>
    <xdr:clientData/>
  </xdr:twoCellAnchor>
  <xdr:twoCellAnchor>
    <xdr:from>
      <xdr:col>1</xdr:col>
      <xdr:colOff>11671</xdr:colOff>
      <xdr:row>21</xdr:row>
      <xdr:rowOff>119045</xdr:rowOff>
    </xdr:from>
    <xdr:to>
      <xdr:col>4</xdr:col>
      <xdr:colOff>242387</xdr:colOff>
      <xdr:row>25</xdr:row>
      <xdr:rowOff>15267</xdr:rowOff>
    </xdr:to>
    <xdr:sp macro="" textlink="Workings!F5">
      <xdr:nvSpPr>
        <xdr:cNvPr id="28" name="Rectangle 27">
          <a:extLst>
            <a:ext uri="{FF2B5EF4-FFF2-40B4-BE49-F238E27FC236}">
              <a16:creationId xmlns:a16="http://schemas.microsoft.com/office/drawing/2014/main" id="{7DAE7E99-86A0-70E9-00A7-26A2B84901B3}"/>
            </a:ext>
          </a:extLst>
        </xdr:cNvPr>
        <xdr:cNvSpPr/>
      </xdr:nvSpPr>
      <xdr:spPr>
        <a:xfrm>
          <a:off x="11671" y="3863917"/>
          <a:ext cx="2062447" cy="645196"/>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C955FC3-CEE0-4FCD-801D-23CF4E2C6278}" type="TxLink">
            <a:rPr lang="en-US" sz="1400" b="1" i="0" u="none" strike="noStrike">
              <a:solidFill>
                <a:schemeClr val="bg1"/>
              </a:solidFill>
              <a:latin typeface="Georgia" panose="02040502050405020303" pitchFamily="18" charset="0"/>
              <a:ea typeface="Calibri"/>
              <a:cs typeface="Calibri"/>
            </a:rPr>
            <a:pPr algn="ctr"/>
            <a:t>45</a:t>
          </a:fld>
          <a:endParaRPr lang="en-GB" sz="1400" b="1">
            <a:solidFill>
              <a:schemeClr val="bg1"/>
            </a:solidFill>
            <a:latin typeface="Georgia" panose="02040502050405020303" pitchFamily="18" charset="0"/>
          </a:endParaRPr>
        </a:p>
      </xdr:txBody>
    </xdr:sp>
    <xdr:clientData/>
  </xdr:twoCellAnchor>
  <xdr:twoCellAnchor>
    <xdr:from>
      <xdr:col>1</xdr:col>
      <xdr:colOff>10586</xdr:colOff>
      <xdr:row>25</xdr:row>
      <xdr:rowOff>49801</xdr:rowOff>
    </xdr:from>
    <xdr:to>
      <xdr:col>4</xdr:col>
      <xdr:colOff>241302</xdr:colOff>
      <xdr:row>28</xdr:row>
      <xdr:rowOff>129468</xdr:rowOff>
    </xdr:to>
    <xdr:sp macro="" textlink="Workings!H5">
      <xdr:nvSpPr>
        <xdr:cNvPr id="29" name="Rectangle 28">
          <a:extLst>
            <a:ext uri="{FF2B5EF4-FFF2-40B4-BE49-F238E27FC236}">
              <a16:creationId xmlns:a16="http://schemas.microsoft.com/office/drawing/2014/main" id="{5658B224-D370-D403-BFD3-D09C65121DD1}"/>
            </a:ext>
          </a:extLst>
        </xdr:cNvPr>
        <xdr:cNvSpPr/>
      </xdr:nvSpPr>
      <xdr:spPr>
        <a:xfrm>
          <a:off x="10586" y="4452468"/>
          <a:ext cx="2051049" cy="630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ACBEF11-3CB5-4739-9660-2868F5135E5A}" type="TxLink">
            <a:rPr lang="en-US" sz="1800" b="0" i="0" u="none" strike="noStrike">
              <a:solidFill>
                <a:schemeClr val="bg1"/>
              </a:solidFill>
              <a:latin typeface="Georgia" panose="02040502050405020303" pitchFamily="18" charset="0"/>
              <a:ea typeface="Calibri"/>
              <a:cs typeface="Calibri"/>
            </a:rPr>
            <a:pPr algn="ctr"/>
            <a:t>75</a:t>
          </a:fld>
          <a:endParaRPr lang="en-GB" sz="1800">
            <a:solidFill>
              <a:schemeClr val="bg1"/>
            </a:solidFill>
            <a:latin typeface="Georgia" panose="02040502050405020303" pitchFamily="18" charset="0"/>
          </a:endParaRPr>
        </a:p>
      </xdr:txBody>
    </xdr:sp>
    <xdr:clientData/>
  </xdr:twoCellAnchor>
  <xdr:twoCellAnchor>
    <xdr:from>
      <xdr:col>1</xdr:col>
      <xdr:colOff>42332</xdr:colOff>
      <xdr:row>25</xdr:row>
      <xdr:rowOff>77611</xdr:rowOff>
    </xdr:from>
    <xdr:to>
      <xdr:col>4</xdr:col>
      <xdr:colOff>119944</xdr:colOff>
      <xdr:row>26</xdr:row>
      <xdr:rowOff>127000</xdr:rowOff>
    </xdr:to>
    <xdr:sp macro="" textlink="">
      <xdr:nvSpPr>
        <xdr:cNvPr id="31" name="TextBox 30">
          <a:extLst>
            <a:ext uri="{FF2B5EF4-FFF2-40B4-BE49-F238E27FC236}">
              <a16:creationId xmlns:a16="http://schemas.microsoft.com/office/drawing/2014/main" id="{8377A78F-7DD0-FF5C-CCBF-2B5BEC4B7E4B}"/>
            </a:ext>
          </a:extLst>
        </xdr:cNvPr>
        <xdr:cNvSpPr txBox="1"/>
      </xdr:nvSpPr>
      <xdr:spPr>
        <a:xfrm>
          <a:off x="42332" y="4480278"/>
          <a:ext cx="1897945"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Georgia" panose="02040502050405020303" pitchFamily="18" charset="0"/>
            </a:rPr>
            <a:t>Avg</a:t>
          </a:r>
          <a:r>
            <a:rPr lang="en-GB" sz="1200" b="1" baseline="0">
              <a:solidFill>
                <a:schemeClr val="bg1"/>
              </a:solidFill>
              <a:effectLst/>
              <a:latin typeface="Georgia" panose="02040502050405020303" pitchFamily="18" charset="0"/>
            </a:rPr>
            <a:t> Recovery Score</a:t>
          </a:r>
          <a:endParaRPr lang="en-GB" sz="1200" b="1">
            <a:solidFill>
              <a:schemeClr val="bg1"/>
            </a:solidFill>
            <a:effectLst/>
            <a:latin typeface="Georgia" panose="02040502050405020303" pitchFamily="18" charset="0"/>
          </a:endParaRPr>
        </a:p>
        <a:p>
          <a:pPr algn="ctr"/>
          <a:endParaRPr lang="en-GB" sz="1200" b="1">
            <a:solidFill>
              <a:schemeClr val="bg1"/>
            </a:solidFill>
            <a:latin typeface="Georgia" panose="02040502050405020303" pitchFamily="18" charset="0"/>
          </a:endParaRPr>
        </a:p>
      </xdr:txBody>
    </xdr:sp>
    <xdr:clientData/>
  </xdr:twoCellAnchor>
  <xdr:twoCellAnchor>
    <xdr:from>
      <xdr:col>1</xdr:col>
      <xdr:colOff>35278</xdr:colOff>
      <xdr:row>14</xdr:row>
      <xdr:rowOff>112888</xdr:rowOff>
    </xdr:from>
    <xdr:to>
      <xdr:col>2</xdr:col>
      <xdr:colOff>557390</xdr:colOff>
      <xdr:row>15</xdr:row>
      <xdr:rowOff>141110</xdr:rowOff>
    </xdr:to>
    <xdr:sp macro="" textlink="">
      <xdr:nvSpPr>
        <xdr:cNvPr id="33" name="TextBox 32">
          <a:extLst>
            <a:ext uri="{FF2B5EF4-FFF2-40B4-BE49-F238E27FC236}">
              <a16:creationId xmlns:a16="http://schemas.microsoft.com/office/drawing/2014/main" id="{5E4B2E2B-8F49-756C-CD8D-1D8837514357}"/>
            </a:ext>
          </a:extLst>
        </xdr:cNvPr>
        <xdr:cNvSpPr txBox="1"/>
      </xdr:nvSpPr>
      <xdr:spPr>
        <a:xfrm>
          <a:off x="35278" y="2497666"/>
          <a:ext cx="1128890"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chemeClr val="bg1"/>
              </a:solidFill>
              <a:latin typeface="Georgia" panose="02040502050405020303" pitchFamily="18" charset="0"/>
            </a:rPr>
            <a:t>Total Patient</a:t>
          </a:r>
          <a:endParaRPr lang="en-GB" sz="1100" b="1">
            <a:solidFill>
              <a:schemeClr val="bg1"/>
            </a:solidFill>
            <a:latin typeface="Georgia" panose="02040502050405020303" pitchFamily="18" charset="0"/>
          </a:endParaRPr>
        </a:p>
      </xdr:txBody>
    </xdr:sp>
    <xdr:clientData/>
  </xdr:twoCellAnchor>
  <xdr:twoCellAnchor>
    <xdr:from>
      <xdr:col>1</xdr:col>
      <xdr:colOff>21165</xdr:colOff>
      <xdr:row>17</xdr:row>
      <xdr:rowOff>159454</xdr:rowOff>
    </xdr:from>
    <xdr:to>
      <xdr:col>4</xdr:col>
      <xdr:colOff>70555</xdr:colOff>
      <xdr:row>19</xdr:row>
      <xdr:rowOff>42332</xdr:rowOff>
    </xdr:to>
    <xdr:sp macro="" textlink="">
      <xdr:nvSpPr>
        <xdr:cNvPr id="34" name="TextBox 33">
          <a:extLst>
            <a:ext uri="{FF2B5EF4-FFF2-40B4-BE49-F238E27FC236}">
              <a16:creationId xmlns:a16="http://schemas.microsoft.com/office/drawing/2014/main" id="{9085C23C-7DA0-A9E9-0EA2-AE85B1EF1155}"/>
            </a:ext>
          </a:extLst>
        </xdr:cNvPr>
        <xdr:cNvSpPr txBox="1"/>
      </xdr:nvSpPr>
      <xdr:spPr>
        <a:xfrm>
          <a:off x="21165" y="3094565"/>
          <a:ext cx="1869723" cy="249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latin typeface="Georgia" panose="02040502050405020303" pitchFamily="18" charset="0"/>
            </a:rPr>
            <a:t>Avg</a:t>
          </a:r>
          <a:r>
            <a:rPr lang="en-GB" sz="1100" b="1" baseline="0">
              <a:solidFill>
                <a:schemeClr val="bg1"/>
              </a:solidFill>
              <a:latin typeface="Georgia" panose="02040502050405020303" pitchFamily="18" charset="0"/>
            </a:rPr>
            <a:t> Treatment cost</a:t>
          </a:r>
          <a:endParaRPr lang="en-GB" sz="1100" b="1">
            <a:solidFill>
              <a:schemeClr val="bg1"/>
            </a:solidFill>
            <a:latin typeface="Georgia" panose="02040502050405020303" pitchFamily="18" charset="0"/>
          </a:endParaRPr>
        </a:p>
      </xdr:txBody>
    </xdr:sp>
    <xdr:clientData/>
  </xdr:twoCellAnchor>
  <xdr:twoCellAnchor>
    <xdr:from>
      <xdr:col>1</xdr:col>
      <xdr:colOff>67731</xdr:colOff>
      <xdr:row>21</xdr:row>
      <xdr:rowOff>127000</xdr:rowOff>
    </xdr:from>
    <xdr:to>
      <xdr:col>4</xdr:col>
      <xdr:colOff>42334</xdr:colOff>
      <xdr:row>23</xdr:row>
      <xdr:rowOff>14110</xdr:rowOff>
    </xdr:to>
    <xdr:sp macro="" textlink="">
      <xdr:nvSpPr>
        <xdr:cNvPr id="35" name="TextBox 34">
          <a:extLst>
            <a:ext uri="{FF2B5EF4-FFF2-40B4-BE49-F238E27FC236}">
              <a16:creationId xmlns:a16="http://schemas.microsoft.com/office/drawing/2014/main" id="{C8E732BA-2E3C-7031-224E-2FDBC7B96D78}"/>
            </a:ext>
          </a:extLst>
        </xdr:cNvPr>
        <xdr:cNvSpPr txBox="1"/>
      </xdr:nvSpPr>
      <xdr:spPr>
        <a:xfrm>
          <a:off x="67731" y="3795889"/>
          <a:ext cx="1794936"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latin typeface="Georgia" panose="02040502050405020303" pitchFamily="18" charset="0"/>
            </a:rPr>
            <a:t>Avg</a:t>
          </a:r>
          <a:r>
            <a:rPr lang="en-GB" sz="1100" b="1" baseline="0">
              <a:solidFill>
                <a:schemeClr val="bg1"/>
              </a:solidFill>
              <a:latin typeface="Georgia" panose="02040502050405020303" pitchFamily="18" charset="0"/>
            </a:rPr>
            <a:t> Patient Age</a:t>
          </a:r>
          <a:endParaRPr lang="en-GB" sz="1100" b="1">
            <a:solidFill>
              <a:schemeClr val="bg1"/>
            </a:solidFill>
            <a:latin typeface="Georgia" panose="02040502050405020303" pitchFamily="18" charset="0"/>
          </a:endParaRPr>
        </a:p>
      </xdr:txBody>
    </xdr:sp>
    <xdr:clientData/>
  </xdr:twoCellAnchor>
  <xdr:twoCellAnchor>
    <xdr:from>
      <xdr:col>1</xdr:col>
      <xdr:colOff>127000</xdr:colOff>
      <xdr:row>3</xdr:row>
      <xdr:rowOff>112890</xdr:rowOff>
    </xdr:from>
    <xdr:to>
      <xdr:col>6</xdr:col>
      <xdr:colOff>303389</xdr:colOff>
      <xdr:row>13</xdr:row>
      <xdr:rowOff>148168</xdr:rowOff>
    </xdr:to>
    <xdr:graphicFrame macro="">
      <xdr:nvGraphicFramePr>
        <xdr:cNvPr id="36" name="Chart 35">
          <a:extLst>
            <a:ext uri="{FF2B5EF4-FFF2-40B4-BE49-F238E27FC236}">
              <a16:creationId xmlns:a16="http://schemas.microsoft.com/office/drawing/2014/main" id="{5C123720-1EA8-40D6-A645-C5F2291EA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437444</xdr:colOff>
      <xdr:row>3</xdr:row>
      <xdr:rowOff>134055</xdr:rowOff>
    </xdr:from>
    <xdr:to>
      <xdr:col>17</xdr:col>
      <xdr:colOff>507999</xdr:colOff>
      <xdr:row>13</xdr:row>
      <xdr:rowOff>169334</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1FCEF134-DC05-4DE4-977D-8E9F867F89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70044" y="686505"/>
              <a:ext cx="3118555" cy="187677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84666</xdr:colOff>
      <xdr:row>14</xdr:row>
      <xdr:rowOff>169334</xdr:rowOff>
    </xdr:from>
    <xdr:to>
      <xdr:col>13</xdr:col>
      <xdr:colOff>126999</xdr:colOff>
      <xdr:row>28</xdr:row>
      <xdr:rowOff>0</xdr:rowOff>
    </xdr:to>
    <xdr:graphicFrame macro="">
      <xdr:nvGraphicFramePr>
        <xdr:cNvPr id="41" name="Chart 40">
          <a:extLst>
            <a:ext uri="{FF2B5EF4-FFF2-40B4-BE49-F238E27FC236}">
              <a16:creationId xmlns:a16="http://schemas.microsoft.com/office/drawing/2014/main" id="{81206D78-8C71-4D55-B5B9-E15DCC677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36</xdr:col>
          <xdr:colOff>400050</xdr:colOff>
          <xdr:row>1</xdr:row>
          <xdr:rowOff>95250</xdr:rowOff>
        </xdr:from>
        <xdr:to>
          <xdr:col>58</xdr:col>
          <xdr:colOff>533400</xdr:colOff>
          <xdr:row>29</xdr:row>
          <xdr:rowOff>101600</xdr:rowOff>
        </xdr:to>
        <xdr:pic>
          <xdr:nvPicPr>
            <xdr:cNvPr id="4" name="Picture 3">
              <a:extLst>
                <a:ext uri="{FF2B5EF4-FFF2-40B4-BE49-F238E27FC236}">
                  <a16:creationId xmlns:a16="http://schemas.microsoft.com/office/drawing/2014/main" id="{FC3B100C-4009-8434-98A3-F59F84E615CA}"/>
                </a:ext>
              </a:extLst>
            </xdr:cNvPr>
            <xdr:cNvPicPr>
              <a:picLocks noChangeAspect="1" noChangeArrowheads="1"/>
              <a:extLst>
                <a:ext uri="{84589F7E-364E-4C9E-8A38-B11213B215E9}">
                  <a14:cameraTool cellRange="$A$2:$W$29" spid="_x0000_s1044"/>
                </a:ext>
              </a:extLst>
            </xdr:cNvPicPr>
          </xdr:nvPicPr>
          <xdr:blipFill>
            <a:blip xmlns:r="http://schemas.openxmlformats.org/officeDocument/2006/relationships" r:embed="rId7"/>
            <a:srcRect/>
            <a:stretch>
              <a:fillRect/>
            </a:stretch>
          </xdr:blipFill>
          <xdr:spPr bwMode="auto">
            <a:xfrm>
              <a:off x="21863050" y="279400"/>
              <a:ext cx="13544550" cy="51625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0.01247</cdr:x>
      <cdr:y>0</cdr:y>
    </cdr:from>
    <cdr:to>
      <cdr:x>0.88699</cdr:x>
      <cdr:y>0.1139</cdr:y>
    </cdr:to>
    <cdr:sp macro="" textlink="">
      <cdr:nvSpPr>
        <cdr:cNvPr id="2" name="TextBox 1">
          <a:extLst xmlns:a="http://schemas.openxmlformats.org/drawingml/2006/main">
            <a:ext uri="{FF2B5EF4-FFF2-40B4-BE49-F238E27FC236}">
              <a16:creationId xmlns:a16="http://schemas.microsoft.com/office/drawing/2014/main" id="{8EEF0AA8-4300-A5C7-828E-11E9D75DBB3A}"/>
            </a:ext>
          </a:extLst>
        </cdr:cNvPr>
        <cdr:cNvSpPr txBox="1"/>
      </cdr:nvSpPr>
      <cdr:spPr>
        <a:xfrm xmlns:a="http://schemas.openxmlformats.org/drawingml/2006/main">
          <a:off x="41856" y="0"/>
          <a:ext cx="2935363" cy="2153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US" sz="1100" b="1" i="0" baseline="0">
              <a:solidFill>
                <a:schemeClr val="bg1"/>
              </a:solidFill>
              <a:effectLst/>
              <a:latin typeface="Georgia" panose="02040502050405020303" pitchFamily="18" charset="0"/>
              <a:ea typeface="+mn-ea"/>
              <a:cs typeface="+mn-cs"/>
            </a:rPr>
            <a:t>Avg Recovery Score By Deparment</a:t>
          </a:r>
          <a:endParaRPr lang="en-GB">
            <a:solidFill>
              <a:schemeClr val="bg1"/>
            </a:solidFill>
            <a:effectLst/>
            <a:latin typeface="Georgia" panose="02040502050405020303"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0.9049</cdr:x>
      <cdr:y>0.13475</cdr:y>
    </cdr:to>
    <cdr:sp macro="" textlink="">
      <cdr:nvSpPr>
        <cdr:cNvPr id="2" name="TextBox 1">
          <a:extLst xmlns:a="http://schemas.openxmlformats.org/drawingml/2006/main">
            <a:ext uri="{FF2B5EF4-FFF2-40B4-BE49-F238E27FC236}">
              <a16:creationId xmlns:a16="http://schemas.microsoft.com/office/drawing/2014/main" id="{D6ACA55E-30B7-2FAD-2C23-51C8D8EFDA8B}"/>
            </a:ext>
          </a:extLst>
        </cdr:cNvPr>
        <cdr:cNvSpPr txBox="1"/>
      </cdr:nvSpPr>
      <cdr:spPr>
        <a:xfrm xmlns:a="http://schemas.openxmlformats.org/drawingml/2006/main">
          <a:off x="0" y="0"/>
          <a:ext cx="2215444" cy="314698"/>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200" b="1" kern="1200">
              <a:solidFill>
                <a:schemeClr val="bg1"/>
              </a:solidFill>
            </a:rPr>
            <a:t>Avg Recovery Score by</a:t>
          </a:r>
          <a:r>
            <a:rPr lang="en-GB" sz="1200" b="1" kern="1200" baseline="0">
              <a:solidFill>
                <a:schemeClr val="bg1"/>
              </a:solidFill>
            </a:rPr>
            <a:t> Doctor</a:t>
          </a:r>
          <a:endParaRPr lang="en-GB" sz="12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0.08572</cdr:x>
      <cdr:y>0.02312</cdr:y>
    </cdr:from>
    <cdr:to>
      <cdr:x>0.78</cdr:x>
      <cdr:y>0.19706</cdr:y>
    </cdr:to>
    <cdr:sp macro="" textlink="">
      <cdr:nvSpPr>
        <cdr:cNvPr id="2" name="TextBox 1">
          <a:extLst xmlns:a="http://schemas.openxmlformats.org/drawingml/2006/main">
            <a:ext uri="{FF2B5EF4-FFF2-40B4-BE49-F238E27FC236}">
              <a16:creationId xmlns:a16="http://schemas.microsoft.com/office/drawing/2014/main" id="{1A1B171A-D737-1B3C-29E7-472685148E37}"/>
            </a:ext>
          </a:extLst>
        </cdr:cNvPr>
        <cdr:cNvSpPr txBox="1"/>
      </cdr:nvSpPr>
      <cdr:spPr>
        <a:xfrm xmlns:a="http://schemas.openxmlformats.org/drawingml/2006/main">
          <a:off x="211669" y="55466"/>
          <a:ext cx="1714500" cy="4172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Georgia" panose="02040502050405020303" pitchFamily="18" charset="0"/>
              <a:ea typeface="+mn-ea"/>
              <a:cs typeface="+mn-cs"/>
            </a:rPr>
            <a:t>Patient Distribution by Treatment cost</a:t>
          </a:r>
          <a:endParaRPr lang="en-GB" b="1">
            <a:solidFill>
              <a:schemeClr val="bg1"/>
            </a:solidFill>
            <a:effectLst/>
            <a:latin typeface="Georgia" panose="02040502050405020303" pitchFamily="18" charset="0"/>
          </a:endParaRPr>
        </a:p>
        <a:p xmlns:a="http://schemas.openxmlformats.org/drawingml/2006/main">
          <a:endParaRPr lang="en-GB"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Adetoyi" refreshedDate="46163.880652546293" createdVersion="8" refreshedVersion="8" minRefreshableVersion="3" recordCount="400" xr:uid="{D6474D6E-89D4-454D-A0F0-A47FC3B84E12}">
  <cacheSource type="worksheet">
    <worksheetSource name="Hospital_data"/>
  </cacheSource>
  <cacheFields count="11">
    <cacheField name="Patient ID" numFmtId="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Age Group" numFmtId="0">
      <sharedItems count="7">
        <s v="Adult"/>
        <s v="Infants"/>
        <s v="Elderly"/>
        <s v="Child"/>
        <s v="Middle Age"/>
        <s v="Youth"/>
        <s v="Teenager"/>
      </sharedItems>
    </cacheField>
    <cacheField name="Treatment Cost" numFmtId="0">
      <sharedItems containsSemiMixedTypes="0" containsString="0" containsNumber="1" containsInteger="1" minValue="219" maxValue="19824"/>
    </cacheField>
    <cacheField name="Cost Category" numFmtId="0">
      <sharedItems count="2">
        <s v="High Cost"/>
        <s v="Low Cost"/>
      </sharedItems>
    </cacheField>
    <cacheField name="Hospital Stay (Days)" numFmtId="0">
      <sharedItems containsSemiMixedTypes="0" containsString="0" containsNumber="1" containsInteger="1" minValue="1" maxValue="15"/>
    </cacheField>
    <cacheField name="Recovery Score" numFmtId="0">
      <sharedItems containsSemiMixedTypes="0" containsString="0" containsNumber="1" containsInteger="1" minValue="50" maxValue="100"/>
    </cacheField>
  </cacheFields>
  <extLst>
    <ext xmlns:x14="http://schemas.microsoft.com/office/spreadsheetml/2009/9/main" uri="{725AE2AE-9491-48be-B2B4-4EB974FC3084}">
      <x14:pivotCacheDefinition pivotCacheId="216528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P1001"/>
    <x v="0"/>
    <x v="0"/>
    <x v="0"/>
    <x v="0"/>
    <n v="32"/>
    <x v="0"/>
    <n v="8657"/>
    <x v="0"/>
    <n v="7"/>
    <n v="97"/>
  </r>
  <r>
    <s v="P1002"/>
    <x v="1"/>
    <x v="0"/>
    <x v="1"/>
    <x v="1"/>
    <n v="4"/>
    <x v="1"/>
    <n v="6535"/>
    <x v="1"/>
    <n v="8"/>
    <n v="64"/>
  </r>
  <r>
    <s v="P1003"/>
    <x v="2"/>
    <x v="0"/>
    <x v="2"/>
    <x v="1"/>
    <n v="84"/>
    <x v="2"/>
    <n v="16490"/>
    <x v="0"/>
    <n v="13"/>
    <n v="76"/>
  </r>
  <r>
    <s v="P1004"/>
    <x v="3"/>
    <x v="1"/>
    <x v="1"/>
    <x v="1"/>
    <n v="1"/>
    <x v="1"/>
    <n v="1754"/>
    <x v="1"/>
    <n v="1"/>
    <n v="94"/>
  </r>
  <r>
    <s v="P1005"/>
    <x v="4"/>
    <x v="2"/>
    <x v="3"/>
    <x v="1"/>
    <n v="44"/>
    <x v="0"/>
    <n v="1837"/>
    <x v="1"/>
    <n v="3"/>
    <n v="74"/>
  </r>
  <r>
    <s v="P1006"/>
    <x v="1"/>
    <x v="2"/>
    <x v="4"/>
    <x v="0"/>
    <n v="6"/>
    <x v="3"/>
    <n v="6977"/>
    <x v="1"/>
    <n v="9"/>
    <n v="84"/>
  </r>
  <r>
    <s v="P1007"/>
    <x v="1"/>
    <x v="1"/>
    <x v="5"/>
    <x v="0"/>
    <n v="81"/>
    <x v="2"/>
    <n v="1466"/>
    <x v="1"/>
    <n v="2"/>
    <n v="86"/>
  </r>
  <r>
    <s v="P1008"/>
    <x v="3"/>
    <x v="0"/>
    <x v="0"/>
    <x v="0"/>
    <n v="38"/>
    <x v="0"/>
    <n v="6307"/>
    <x v="1"/>
    <n v="8"/>
    <n v="56"/>
  </r>
  <r>
    <s v="P1009"/>
    <x v="4"/>
    <x v="2"/>
    <x v="6"/>
    <x v="0"/>
    <n v="47"/>
    <x v="4"/>
    <n v="2332"/>
    <x v="1"/>
    <n v="7"/>
    <n v="72"/>
  </r>
  <r>
    <s v="P1010"/>
    <x v="3"/>
    <x v="2"/>
    <x v="5"/>
    <x v="0"/>
    <n v="22"/>
    <x v="5"/>
    <n v="5375"/>
    <x v="1"/>
    <n v="5"/>
    <n v="60"/>
  </r>
  <r>
    <s v="P1011"/>
    <x v="4"/>
    <x v="1"/>
    <x v="3"/>
    <x v="2"/>
    <n v="82"/>
    <x v="2"/>
    <n v="1609"/>
    <x v="1"/>
    <n v="3"/>
    <n v="64"/>
  </r>
  <r>
    <s v="P1012"/>
    <x v="0"/>
    <x v="2"/>
    <x v="0"/>
    <x v="1"/>
    <n v="5"/>
    <x v="1"/>
    <n v="3584"/>
    <x v="1"/>
    <n v="8"/>
    <n v="67"/>
  </r>
  <r>
    <s v="P1013"/>
    <x v="1"/>
    <x v="3"/>
    <x v="1"/>
    <x v="0"/>
    <n v="41"/>
    <x v="0"/>
    <n v="2241"/>
    <x v="1"/>
    <n v="4"/>
    <n v="75"/>
  </r>
  <r>
    <s v="P1014"/>
    <x v="0"/>
    <x v="1"/>
    <x v="7"/>
    <x v="1"/>
    <n v="32"/>
    <x v="0"/>
    <n v="1725"/>
    <x v="1"/>
    <n v="3"/>
    <n v="84"/>
  </r>
  <r>
    <s v="P1015"/>
    <x v="5"/>
    <x v="1"/>
    <x v="1"/>
    <x v="1"/>
    <n v="29"/>
    <x v="5"/>
    <n v="483"/>
    <x v="1"/>
    <n v="3"/>
    <n v="81"/>
  </r>
  <r>
    <s v="P1016"/>
    <x v="1"/>
    <x v="0"/>
    <x v="5"/>
    <x v="1"/>
    <n v="21"/>
    <x v="5"/>
    <n v="17977"/>
    <x v="0"/>
    <n v="15"/>
    <n v="77"/>
  </r>
  <r>
    <s v="P1017"/>
    <x v="2"/>
    <x v="0"/>
    <x v="8"/>
    <x v="1"/>
    <n v="60"/>
    <x v="4"/>
    <n v="13669"/>
    <x v="0"/>
    <n v="9"/>
    <n v="85"/>
  </r>
  <r>
    <s v="P1018"/>
    <x v="6"/>
    <x v="0"/>
    <x v="5"/>
    <x v="0"/>
    <n v="69"/>
    <x v="2"/>
    <n v="17302"/>
    <x v="0"/>
    <n v="9"/>
    <n v="99"/>
  </r>
  <r>
    <s v="P1019"/>
    <x v="0"/>
    <x v="2"/>
    <x v="5"/>
    <x v="1"/>
    <n v="21"/>
    <x v="5"/>
    <n v="4716"/>
    <x v="1"/>
    <n v="2"/>
    <n v="96"/>
  </r>
  <r>
    <s v="P1020"/>
    <x v="0"/>
    <x v="2"/>
    <x v="2"/>
    <x v="0"/>
    <n v="65"/>
    <x v="2"/>
    <n v="1871"/>
    <x v="1"/>
    <n v="6"/>
    <n v="90"/>
  </r>
  <r>
    <s v="P1021"/>
    <x v="2"/>
    <x v="3"/>
    <x v="7"/>
    <x v="1"/>
    <n v="21"/>
    <x v="5"/>
    <n v="4918"/>
    <x v="1"/>
    <n v="5"/>
    <n v="50"/>
  </r>
  <r>
    <s v="P1022"/>
    <x v="2"/>
    <x v="2"/>
    <x v="6"/>
    <x v="1"/>
    <n v="47"/>
    <x v="4"/>
    <n v="3519"/>
    <x v="1"/>
    <n v="5"/>
    <n v="53"/>
  </r>
  <r>
    <s v="P1023"/>
    <x v="3"/>
    <x v="0"/>
    <x v="5"/>
    <x v="0"/>
    <n v="9"/>
    <x v="3"/>
    <n v="17461"/>
    <x v="0"/>
    <n v="13"/>
    <n v="99"/>
  </r>
  <r>
    <s v="P1024"/>
    <x v="3"/>
    <x v="3"/>
    <x v="6"/>
    <x v="0"/>
    <n v="22"/>
    <x v="5"/>
    <n v="2671"/>
    <x v="1"/>
    <n v="5"/>
    <n v="88"/>
  </r>
  <r>
    <s v="P1025"/>
    <x v="4"/>
    <x v="3"/>
    <x v="2"/>
    <x v="0"/>
    <n v="89"/>
    <x v="2"/>
    <n v="2147"/>
    <x v="1"/>
    <n v="3"/>
    <n v="75"/>
  </r>
  <r>
    <s v="P1026"/>
    <x v="0"/>
    <x v="2"/>
    <x v="6"/>
    <x v="0"/>
    <n v="58"/>
    <x v="4"/>
    <n v="1991"/>
    <x v="1"/>
    <n v="5"/>
    <n v="64"/>
  </r>
  <r>
    <s v="P1027"/>
    <x v="1"/>
    <x v="2"/>
    <x v="0"/>
    <x v="0"/>
    <n v="30"/>
    <x v="0"/>
    <n v="5820"/>
    <x v="1"/>
    <n v="5"/>
    <n v="50"/>
  </r>
  <r>
    <s v="P1028"/>
    <x v="1"/>
    <x v="0"/>
    <x v="9"/>
    <x v="1"/>
    <n v="5"/>
    <x v="1"/>
    <n v="19084"/>
    <x v="0"/>
    <n v="10"/>
    <n v="54"/>
  </r>
  <r>
    <s v="P1029"/>
    <x v="2"/>
    <x v="3"/>
    <x v="3"/>
    <x v="0"/>
    <n v="28"/>
    <x v="5"/>
    <n v="4917"/>
    <x v="1"/>
    <n v="2"/>
    <n v="96"/>
  </r>
  <r>
    <s v="P1030"/>
    <x v="2"/>
    <x v="1"/>
    <x v="9"/>
    <x v="0"/>
    <n v="53"/>
    <x v="4"/>
    <n v="589"/>
    <x v="1"/>
    <n v="1"/>
    <n v="56"/>
  </r>
  <r>
    <s v="P1031"/>
    <x v="0"/>
    <x v="1"/>
    <x v="4"/>
    <x v="1"/>
    <n v="60"/>
    <x v="4"/>
    <n v="1969"/>
    <x v="1"/>
    <n v="3"/>
    <n v="53"/>
  </r>
  <r>
    <s v="P1032"/>
    <x v="0"/>
    <x v="0"/>
    <x v="0"/>
    <x v="1"/>
    <n v="44"/>
    <x v="0"/>
    <n v="18116"/>
    <x v="0"/>
    <n v="6"/>
    <n v="65"/>
  </r>
  <r>
    <s v="P1033"/>
    <x v="3"/>
    <x v="3"/>
    <x v="2"/>
    <x v="1"/>
    <n v="55"/>
    <x v="4"/>
    <n v="2003"/>
    <x v="1"/>
    <n v="3"/>
    <n v="79"/>
  </r>
  <r>
    <s v="P1034"/>
    <x v="3"/>
    <x v="0"/>
    <x v="6"/>
    <x v="0"/>
    <n v="71"/>
    <x v="2"/>
    <n v="6604"/>
    <x v="1"/>
    <n v="5"/>
    <n v="91"/>
  </r>
  <r>
    <s v="P1035"/>
    <x v="2"/>
    <x v="0"/>
    <x v="5"/>
    <x v="0"/>
    <n v="31"/>
    <x v="0"/>
    <n v="7724"/>
    <x v="0"/>
    <n v="11"/>
    <n v="81"/>
  </r>
  <r>
    <s v="P1036"/>
    <x v="4"/>
    <x v="3"/>
    <x v="8"/>
    <x v="0"/>
    <n v="22"/>
    <x v="5"/>
    <n v="3604"/>
    <x v="1"/>
    <n v="1"/>
    <n v="74"/>
  </r>
  <r>
    <s v="P1037"/>
    <x v="5"/>
    <x v="1"/>
    <x v="3"/>
    <x v="1"/>
    <n v="72"/>
    <x v="2"/>
    <n v="1555"/>
    <x v="1"/>
    <n v="3"/>
    <n v="81"/>
  </r>
  <r>
    <s v="P1038"/>
    <x v="3"/>
    <x v="3"/>
    <x v="3"/>
    <x v="1"/>
    <n v="8"/>
    <x v="3"/>
    <n v="4941"/>
    <x v="1"/>
    <n v="1"/>
    <n v="97"/>
  </r>
  <r>
    <s v="P1039"/>
    <x v="5"/>
    <x v="0"/>
    <x v="0"/>
    <x v="0"/>
    <n v="65"/>
    <x v="2"/>
    <n v="18970"/>
    <x v="0"/>
    <n v="13"/>
    <n v="60"/>
  </r>
  <r>
    <s v="P1040"/>
    <x v="1"/>
    <x v="0"/>
    <x v="7"/>
    <x v="1"/>
    <n v="9"/>
    <x v="3"/>
    <n v="16062"/>
    <x v="0"/>
    <n v="8"/>
    <n v="75"/>
  </r>
  <r>
    <s v="P1041"/>
    <x v="1"/>
    <x v="3"/>
    <x v="1"/>
    <x v="0"/>
    <n v="80"/>
    <x v="2"/>
    <n v="1171"/>
    <x v="1"/>
    <n v="4"/>
    <n v="92"/>
  </r>
  <r>
    <s v="P1042"/>
    <x v="2"/>
    <x v="2"/>
    <x v="3"/>
    <x v="1"/>
    <n v="41"/>
    <x v="0"/>
    <n v="2955"/>
    <x v="1"/>
    <n v="6"/>
    <n v="75"/>
  </r>
  <r>
    <s v="P1043"/>
    <x v="3"/>
    <x v="2"/>
    <x v="6"/>
    <x v="1"/>
    <n v="10"/>
    <x v="3"/>
    <n v="1076"/>
    <x v="1"/>
    <n v="9"/>
    <n v="89"/>
  </r>
  <r>
    <s v="P1044"/>
    <x v="2"/>
    <x v="0"/>
    <x v="5"/>
    <x v="0"/>
    <n v="65"/>
    <x v="2"/>
    <n v="9345"/>
    <x v="0"/>
    <n v="7"/>
    <n v="72"/>
  </r>
  <r>
    <s v="P1045"/>
    <x v="1"/>
    <x v="3"/>
    <x v="4"/>
    <x v="1"/>
    <n v="57"/>
    <x v="4"/>
    <n v="4950"/>
    <x v="1"/>
    <n v="3"/>
    <n v="89"/>
  </r>
  <r>
    <s v="P1046"/>
    <x v="6"/>
    <x v="0"/>
    <x v="2"/>
    <x v="1"/>
    <n v="85"/>
    <x v="2"/>
    <n v="6697"/>
    <x v="1"/>
    <n v="7"/>
    <n v="66"/>
  </r>
  <r>
    <s v="P1047"/>
    <x v="1"/>
    <x v="0"/>
    <x v="2"/>
    <x v="1"/>
    <n v="37"/>
    <x v="0"/>
    <n v="14909"/>
    <x v="0"/>
    <n v="8"/>
    <n v="95"/>
  </r>
  <r>
    <s v="P1048"/>
    <x v="5"/>
    <x v="3"/>
    <x v="3"/>
    <x v="0"/>
    <n v="33"/>
    <x v="0"/>
    <n v="916"/>
    <x v="1"/>
    <n v="1"/>
    <n v="90"/>
  </r>
  <r>
    <s v="P1049"/>
    <x v="4"/>
    <x v="2"/>
    <x v="0"/>
    <x v="1"/>
    <n v="17"/>
    <x v="6"/>
    <n v="6219"/>
    <x v="1"/>
    <n v="6"/>
    <n v="60"/>
  </r>
  <r>
    <s v="P1050"/>
    <x v="0"/>
    <x v="1"/>
    <x v="2"/>
    <x v="0"/>
    <n v="72"/>
    <x v="2"/>
    <n v="219"/>
    <x v="1"/>
    <n v="1"/>
    <n v="54"/>
  </r>
  <r>
    <s v="P1051"/>
    <x v="0"/>
    <x v="3"/>
    <x v="2"/>
    <x v="1"/>
    <n v="48"/>
    <x v="4"/>
    <n v="1713"/>
    <x v="1"/>
    <n v="4"/>
    <n v="58"/>
  </r>
  <r>
    <s v="P1052"/>
    <x v="1"/>
    <x v="2"/>
    <x v="4"/>
    <x v="0"/>
    <n v="6"/>
    <x v="3"/>
    <n v="3931"/>
    <x v="1"/>
    <n v="5"/>
    <n v="93"/>
  </r>
  <r>
    <s v="P1053"/>
    <x v="3"/>
    <x v="0"/>
    <x v="4"/>
    <x v="0"/>
    <n v="53"/>
    <x v="4"/>
    <n v="15168"/>
    <x v="0"/>
    <n v="7"/>
    <n v="65"/>
  </r>
  <r>
    <s v="P1054"/>
    <x v="6"/>
    <x v="3"/>
    <x v="7"/>
    <x v="0"/>
    <n v="4"/>
    <x v="1"/>
    <n v="1969"/>
    <x v="1"/>
    <n v="3"/>
    <n v="100"/>
  </r>
  <r>
    <s v="P1055"/>
    <x v="4"/>
    <x v="3"/>
    <x v="3"/>
    <x v="1"/>
    <n v="90"/>
    <x v="2"/>
    <n v="1385"/>
    <x v="1"/>
    <n v="4"/>
    <n v="52"/>
  </r>
  <r>
    <s v="P1056"/>
    <x v="6"/>
    <x v="1"/>
    <x v="9"/>
    <x v="1"/>
    <n v="59"/>
    <x v="4"/>
    <n v="916"/>
    <x v="1"/>
    <n v="2"/>
    <n v="100"/>
  </r>
  <r>
    <s v="P1057"/>
    <x v="6"/>
    <x v="3"/>
    <x v="9"/>
    <x v="1"/>
    <n v="25"/>
    <x v="5"/>
    <n v="3764"/>
    <x v="1"/>
    <n v="3"/>
    <n v="67"/>
  </r>
  <r>
    <s v="P1058"/>
    <x v="6"/>
    <x v="0"/>
    <x v="3"/>
    <x v="1"/>
    <n v="66"/>
    <x v="2"/>
    <n v="11548"/>
    <x v="0"/>
    <n v="15"/>
    <n v="84"/>
  </r>
  <r>
    <s v="P1059"/>
    <x v="5"/>
    <x v="0"/>
    <x v="5"/>
    <x v="0"/>
    <n v="34"/>
    <x v="0"/>
    <n v="7925"/>
    <x v="0"/>
    <n v="14"/>
    <n v="66"/>
  </r>
  <r>
    <s v="P1060"/>
    <x v="1"/>
    <x v="0"/>
    <x v="1"/>
    <x v="1"/>
    <n v="41"/>
    <x v="0"/>
    <n v="12149"/>
    <x v="0"/>
    <n v="14"/>
    <n v="82"/>
  </r>
  <r>
    <s v="P1061"/>
    <x v="1"/>
    <x v="1"/>
    <x v="1"/>
    <x v="1"/>
    <n v="6"/>
    <x v="3"/>
    <n v="1651"/>
    <x v="1"/>
    <n v="2"/>
    <n v="50"/>
  </r>
  <r>
    <s v="P1062"/>
    <x v="2"/>
    <x v="3"/>
    <x v="4"/>
    <x v="1"/>
    <n v="86"/>
    <x v="2"/>
    <n v="3204"/>
    <x v="1"/>
    <n v="5"/>
    <n v="70"/>
  </r>
  <r>
    <s v="P1063"/>
    <x v="0"/>
    <x v="0"/>
    <x v="3"/>
    <x v="0"/>
    <n v="86"/>
    <x v="2"/>
    <n v="11691"/>
    <x v="0"/>
    <n v="10"/>
    <n v="75"/>
  </r>
  <r>
    <s v="P1064"/>
    <x v="0"/>
    <x v="2"/>
    <x v="2"/>
    <x v="1"/>
    <n v="54"/>
    <x v="4"/>
    <n v="6447"/>
    <x v="1"/>
    <n v="8"/>
    <n v="93"/>
  </r>
  <r>
    <s v="P1065"/>
    <x v="0"/>
    <x v="3"/>
    <x v="1"/>
    <x v="0"/>
    <n v="52"/>
    <x v="4"/>
    <n v="4988"/>
    <x v="1"/>
    <n v="1"/>
    <n v="69"/>
  </r>
  <r>
    <s v="P1066"/>
    <x v="5"/>
    <x v="3"/>
    <x v="8"/>
    <x v="0"/>
    <n v="78"/>
    <x v="2"/>
    <n v="3139"/>
    <x v="1"/>
    <n v="4"/>
    <n v="78"/>
  </r>
  <r>
    <s v="P1067"/>
    <x v="4"/>
    <x v="3"/>
    <x v="2"/>
    <x v="1"/>
    <n v="22"/>
    <x v="5"/>
    <n v="1194"/>
    <x v="1"/>
    <n v="3"/>
    <n v="82"/>
  </r>
  <r>
    <s v="P1068"/>
    <x v="0"/>
    <x v="2"/>
    <x v="5"/>
    <x v="0"/>
    <n v="31"/>
    <x v="0"/>
    <n v="6511"/>
    <x v="1"/>
    <n v="6"/>
    <n v="64"/>
  </r>
  <r>
    <s v="P1069"/>
    <x v="6"/>
    <x v="3"/>
    <x v="7"/>
    <x v="1"/>
    <n v="32"/>
    <x v="0"/>
    <n v="4392"/>
    <x v="1"/>
    <n v="5"/>
    <n v="99"/>
  </r>
  <r>
    <s v="P1070"/>
    <x v="1"/>
    <x v="1"/>
    <x v="8"/>
    <x v="0"/>
    <n v="74"/>
    <x v="2"/>
    <n v="598"/>
    <x v="1"/>
    <n v="3"/>
    <n v="94"/>
  </r>
  <r>
    <s v="P1071"/>
    <x v="4"/>
    <x v="1"/>
    <x v="8"/>
    <x v="1"/>
    <n v="84"/>
    <x v="2"/>
    <n v="1608"/>
    <x v="1"/>
    <n v="1"/>
    <n v="98"/>
  </r>
  <r>
    <s v="P1072"/>
    <x v="6"/>
    <x v="0"/>
    <x v="8"/>
    <x v="1"/>
    <n v="90"/>
    <x v="2"/>
    <n v="13486"/>
    <x v="0"/>
    <n v="12"/>
    <n v="53"/>
  </r>
  <r>
    <s v="P1073"/>
    <x v="2"/>
    <x v="3"/>
    <x v="5"/>
    <x v="1"/>
    <n v="60"/>
    <x v="4"/>
    <n v="4851"/>
    <x v="1"/>
    <n v="5"/>
    <n v="88"/>
  </r>
  <r>
    <s v="P1074"/>
    <x v="5"/>
    <x v="1"/>
    <x v="1"/>
    <x v="0"/>
    <n v="65"/>
    <x v="2"/>
    <n v="1073"/>
    <x v="1"/>
    <n v="3"/>
    <n v="78"/>
  </r>
  <r>
    <s v="P1075"/>
    <x v="3"/>
    <x v="1"/>
    <x v="6"/>
    <x v="1"/>
    <n v="32"/>
    <x v="0"/>
    <n v="1920"/>
    <x v="1"/>
    <n v="3"/>
    <n v="67"/>
  </r>
  <r>
    <s v="P1076"/>
    <x v="6"/>
    <x v="1"/>
    <x v="9"/>
    <x v="1"/>
    <n v="10"/>
    <x v="3"/>
    <n v="1661"/>
    <x v="1"/>
    <n v="2"/>
    <n v="65"/>
  </r>
  <r>
    <s v="P1077"/>
    <x v="5"/>
    <x v="2"/>
    <x v="4"/>
    <x v="0"/>
    <n v="11"/>
    <x v="3"/>
    <n v="2133"/>
    <x v="1"/>
    <n v="4"/>
    <n v="64"/>
  </r>
  <r>
    <s v="P1078"/>
    <x v="4"/>
    <x v="3"/>
    <x v="9"/>
    <x v="1"/>
    <n v="53"/>
    <x v="4"/>
    <n v="3210"/>
    <x v="1"/>
    <n v="5"/>
    <n v="79"/>
  </r>
  <r>
    <s v="P1079"/>
    <x v="4"/>
    <x v="0"/>
    <x v="9"/>
    <x v="0"/>
    <n v="50"/>
    <x v="4"/>
    <n v="19824"/>
    <x v="0"/>
    <n v="14"/>
    <n v="94"/>
  </r>
  <r>
    <s v="P1080"/>
    <x v="1"/>
    <x v="1"/>
    <x v="6"/>
    <x v="1"/>
    <n v="46"/>
    <x v="4"/>
    <n v="811"/>
    <x v="1"/>
    <n v="2"/>
    <n v="76"/>
  </r>
  <r>
    <s v="P1081"/>
    <x v="2"/>
    <x v="3"/>
    <x v="6"/>
    <x v="1"/>
    <n v="56"/>
    <x v="4"/>
    <n v="4478"/>
    <x v="1"/>
    <n v="1"/>
    <n v="74"/>
  </r>
  <r>
    <s v="P1082"/>
    <x v="5"/>
    <x v="1"/>
    <x v="7"/>
    <x v="0"/>
    <n v="17"/>
    <x v="6"/>
    <n v="1474"/>
    <x v="1"/>
    <n v="3"/>
    <n v="51"/>
  </r>
  <r>
    <s v="P1083"/>
    <x v="4"/>
    <x v="0"/>
    <x v="5"/>
    <x v="0"/>
    <n v="18"/>
    <x v="6"/>
    <n v="19202"/>
    <x v="0"/>
    <n v="12"/>
    <n v="61"/>
  </r>
  <r>
    <s v="P1084"/>
    <x v="1"/>
    <x v="2"/>
    <x v="8"/>
    <x v="1"/>
    <n v="59"/>
    <x v="4"/>
    <n v="3677"/>
    <x v="1"/>
    <n v="7"/>
    <n v="98"/>
  </r>
  <r>
    <s v="P1085"/>
    <x v="4"/>
    <x v="2"/>
    <x v="8"/>
    <x v="1"/>
    <n v="11"/>
    <x v="3"/>
    <n v="4852"/>
    <x v="1"/>
    <n v="2"/>
    <n v="97"/>
  </r>
  <r>
    <s v="P1086"/>
    <x v="2"/>
    <x v="0"/>
    <x v="4"/>
    <x v="1"/>
    <n v="9"/>
    <x v="3"/>
    <n v="17799"/>
    <x v="0"/>
    <n v="15"/>
    <n v="52"/>
  </r>
  <r>
    <s v="P1087"/>
    <x v="6"/>
    <x v="0"/>
    <x v="9"/>
    <x v="1"/>
    <n v="3"/>
    <x v="1"/>
    <n v="15179"/>
    <x v="0"/>
    <n v="7"/>
    <n v="65"/>
  </r>
  <r>
    <s v="P1088"/>
    <x v="3"/>
    <x v="1"/>
    <x v="5"/>
    <x v="0"/>
    <n v="28"/>
    <x v="5"/>
    <n v="1152"/>
    <x v="1"/>
    <n v="3"/>
    <n v="66"/>
  </r>
  <r>
    <s v="P1089"/>
    <x v="6"/>
    <x v="2"/>
    <x v="7"/>
    <x v="0"/>
    <n v="15"/>
    <x v="6"/>
    <n v="2341"/>
    <x v="1"/>
    <n v="6"/>
    <n v="56"/>
  </r>
  <r>
    <s v="P1090"/>
    <x v="2"/>
    <x v="0"/>
    <x v="3"/>
    <x v="0"/>
    <n v="49"/>
    <x v="4"/>
    <n v="11498"/>
    <x v="0"/>
    <n v="8"/>
    <n v="54"/>
  </r>
  <r>
    <s v="P1091"/>
    <x v="2"/>
    <x v="3"/>
    <x v="5"/>
    <x v="0"/>
    <n v="39"/>
    <x v="0"/>
    <n v="1491"/>
    <x v="1"/>
    <n v="5"/>
    <n v="100"/>
  </r>
  <r>
    <s v="P1092"/>
    <x v="1"/>
    <x v="2"/>
    <x v="2"/>
    <x v="1"/>
    <n v="48"/>
    <x v="4"/>
    <n v="1564"/>
    <x v="1"/>
    <n v="10"/>
    <n v="91"/>
  </r>
  <r>
    <s v="P1093"/>
    <x v="5"/>
    <x v="0"/>
    <x v="8"/>
    <x v="0"/>
    <n v="14"/>
    <x v="6"/>
    <n v="12102"/>
    <x v="0"/>
    <n v="10"/>
    <n v="90"/>
  </r>
  <r>
    <s v="P1094"/>
    <x v="6"/>
    <x v="1"/>
    <x v="7"/>
    <x v="1"/>
    <n v="67"/>
    <x v="2"/>
    <n v="1532"/>
    <x v="1"/>
    <n v="2"/>
    <n v="89"/>
  </r>
  <r>
    <s v="P1095"/>
    <x v="6"/>
    <x v="1"/>
    <x v="6"/>
    <x v="1"/>
    <n v="76"/>
    <x v="2"/>
    <n v="749"/>
    <x v="1"/>
    <n v="2"/>
    <n v="65"/>
  </r>
  <r>
    <s v="P1096"/>
    <x v="6"/>
    <x v="0"/>
    <x v="3"/>
    <x v="0"/>
    <n v="32"/>
    <x v="0"/>
    <n v="17295"/>
    <x v="0"/>
    <n v="12"/>
    <n v="86"/>
  </r>
  <r>
    <s v="P1097"/>
    <x v="2"/>
    <x v="1"/>
    <x v="4"/>
    <x v="1"/>
    <n v="42"/>
    <x v="0"/>
    <n v="572"/>
    <x v="1"/>
    <n v="2"/>
    <n v="63"/>
  </r>
  <r>
    <s v="P1098"/>
    <x v="5"/>
    <x v="2"/>
    <x v="4"/>
    <x v="1"/>
    <n v="77"/>
    <x v="2"/>
    <n v="6744"/>
    <x v="1"/>
    <n v="6"/>
    <n v="85"/>
  </r>
  <r>
    <s v="P1099"/>
    <x v="1"/>
    <x v="3"/>
    <x v="5"/>
    <x v="1"/>
    <n v="53"/>
    <x v="4"/>
    <n v="4502"/>
    <x v="1"/>
    <n v="5"/>
    <n v="98"/>
  </r>
  <r>
    <s v="P1100"/>
    <x v="3"/>
    <x v="1"/>
    <x v="6"/>
    <x v="1"/>
    <n v="3"/>
    <x v="1"/>
    <n v="390"/>
    <x v="1"/>
    <n v="2"/>
    <n v="64"/>
  </r>
  <r>
    <s v="P1101"/>
    <x v="4"/>
    <x v="3"/>
    <x v="3"/>
    <x v="0"/>
    <n v="48"/>
    <x v="4"/>
    <n v="4376"/>
    <x v="1"/>
    <n v="5"/>
    <n v="83"/>
  </r>
  <r>
    <s v="P1102"/>
    <x v="5"/>
    <x v="1"/>
    <x v="2"/>
    <x v="1"/>
    <n v="90"/>
    <x v="2"/>
    <n v="1129"/>
    <x v="1"/>
    <n v="2"/>
    <n v="69"/>
  </r>
  <r>
    <s v="P1103"/>
    <x v="5"/>
    <x v="3"/>
    <x v="5"/>
    <x v="0"/>
    <n v="41"/>
    <x v="0"/>
    <n v="1479"/>
    <x v="1"/>
    <n v="5"/>
    <n v="98"/>
  </r>
  <r>
    <s v="P1104"/>
    <x v="0"/>
    <x v="3"/>
    <x v="9"/>
    <x v="1"/>
    <n v="62"/>
    <x v="2"/>
    <n v="2765"/>
    <x v="1"/>
    <n v="5"/>
    <n v="98"/>
  </r>
  <r>
    <s v="P1105"/>
    <x v="2"/>
    <x v="2"/>
    <x v="5"/>
    <x v="0"/>
    <n v="38"/>
    <x v="0"/>
    <n v="2863"/>
    <x v="1"/>
    <n v="7"/>
    <n v="61"/>
  </r>
  <r>
    <s v="P1106"/>
    <x v="5"/>
    <x v="0"/>
    <x v="2"/>
    <x v="1"/>
    <n v="6"/>
    <x v="3"/>
    <n v="5893"/>
    <x v="1"/>
    <n v="13"/>
    <n v="68"/>
  </r>
  <r>
    <s v="P1107"/>
    <x v="0"/>
    <x v="3"/>
    <x v="6"/>
    <x v="1"/>
    <n v="2"/>
    <x v="1"/>
    <n v="2829"/>
    <x v="1"/>
    <n v="4"/>
    <n v="80"/>
  </r>
  <r>
    <s v="P1108"/>
    <x v="4"/>
    <x v="2"/>
    <x v="7"/>
    <x v="0"/>
    <n v="33"/>
    <x v="0"/>
    <n v="4913"/>
    <x v="1"/>
    <n v="3"/>
    <n v="54"/>
  </r>
  <r>
    <s v="P1109"/>
    <x v="4"/>
    <x v="1"/>
    <x v="5"/>
    <x v="0"/>
    <n v="88"/>
    <x v="2"/>
    <n v="309"/>
    <x v="1"/>
    <n v="1"/>
    <n v="59"/>
  </r>
  <r>
    <s v="P1110"/>
    <x v="6"/>
    <x v="2"/>
    <x v="5"/>
    <x v="2"/>
    <n v="16"/>
    <x v="6"/>
    <n v="5571"/>
    <x v="1"/>
    <n v="8"/>
    <n v="88"/>
  </r>
  <r>
    <s v="P1111"/>
    <x v="2"/>
    <x v="3"/>
    <x v="2"/>
    <x v="1"/>
    <n v="57"/>
    <x v="4"/>
    <n v="2935"/>
    <x v="1"/>
    <n v="5"/>
    <n v="77"/>
  </r>
  <r>
    <s v="P1112"/>
    <x v="5"/>
    <x v="0"/>
    <x v="1"/>
    <x v="0"/>
    <n v="13"/>
    <x v="6"/>
    <n v="17496"/>
    <x v="0"/>
    <n v="8"/>
    <n v="90"/>
  </r>
  <r>
    <s v="P1113"/>
    <x v="3"/>
    <x v="2"/>
    <x v="5"/>
    <x v="1"/>
    <n v="23"/>
    <x v="5"/>
    <n v="5521"/>
    <x v="1"/>
    <n v="3"/>
    <n v="60"/>
  </r>
  <r>
    <s v="P1114"/>
    <x v="1"/>
    <x v="1"/>
    <x v="6"/>
    <x v="0"/>
    <n v="61"/>
    <x v="2"/>
    <n v="796"/>
    <x v="1"/>
    <n v="1"/>
    <n v="64"/>
  </r>
  <r>
    <s v="P1115"/>
    <x v="5"/>
    <x v="2"/>
    <x v="6"/>
    <x v="1"/>
    <n v="30"/>
    <x v="0"/>
    <n v="3167"/>
    <x v="1"/>
    <n v="5"/>
    <n v="77"/>
  </r>
  <r>
    <s v="P1116"/>
    <x v="1"/>
    <x v="3"/>
    <x v="7"/>
    <x v="0"/>
    <n v="19"/>
    <x v="6"/>
    <n v="1084"/>
    <x v="1"/>
    <n v="1"/>
    <n v="60"/>
  </r>
  <r>
    <s v="P1117"/>
    <x v="6"/>
    <x v="2"/>
    <x v="1"/>
    <x v="0"/>
    <n v="73"/>
    <x v="2"/>
    <n v="3364"/>
    <x v="1"/>
    <n v="9"/>
    <n v="57"/>
  </r>
  <r>
    <s v="P1118"/>
    <x v="4"/>
    <x v="2"/>
    <x v="8"/>
    <x v="0"/>
    <n v="65"/>
    <x v="2"/>
    <n v="5423"/>
    <x v="1"/>
    <n v="9"/>
    <n v="78"/>
  </r>
  <r>
    <s v="P1119"/>
    <x v="1"/>
    <x v="0"/>
    <x v="8"/>
    <x v="0"/>
    <n v="78"/>
    <x v="2"/>
    <n v="9102"/>
    <x v="0"/>
    <n v="5"/>
    <n v="55"/>
  </r>
  <r>
    <s v="P1120"/>
    <x v="3"/>
    <x v="0"/>
    <x v="3"/>
    <x v="0"/>
    <n v="23"/>
    <x v="5"/>
    <n v="12708"/>
    <x v="0"/>
    <n v="13"/>
    <n v="91"/>
  </r>
  <r>
    <s v="P1121"/>
    <x v="4"/>
    <x v="2"/>
    <x v="7"/>
    <x v="2"/>
    <n v="56"/>
    <x v="4"/>
    <n v="6200"/>
    <x v="1"/>
    <n v="9"/>
    <n v="55"/>
  </r>
  <r>
    <s v="P1122"/>
    <x v="4"/>
    <x v="2"/>
    <x v="8"/>
    <x v="1"/>
    <n v="86"/>
    <x v="2"/>
    <n v="1856"/>
    <x v="1"/>
    <n v="4"/>
    <n v="71"/>
  </r>
  <r>
    <s v="P1123"/>
    <x v="4"/>
    <x v="1"/>
    <x v="3"/>
    <x v="0"/>
    <n v="52"/>
    <x v="4"/>
    <n v="1866"/>
    <x v="1"/>
    <n v="3"/>
    <n v="52"/>
  </r>
  <r>
    <s v="P1124"/>
    <x v="4"/>
    <x v="0"/>
    <x v="4"/>
    <x v="1"/>
    <n v="15"/>
    <x v="6"/>
    <n v="17657"/>
    <x v="0"/>
    <n v="11"/>
    <n v="82"/>
  </r>
  <r>
    <s v="P1125"/>
    <x v="6"/>
    <x v="0"/>
    <x v="2"/>
    <x v="1"/>
    <n v="7"/>
    <x v="3"/>
    <n v="8073"/>
    <x v="0"/>
    <n v="13"/>
    <n v="73"/>
  </r>
  <r>
    <s v="P1126"/>
    <x v="2"/>
    <x v="1"/>
    <x v="6"/>
    <x v="0"/>
    <n v="27"/>
    <x v="5"/>
    <n v="746"/>
    <x v="1"/>
    <n v="3"/>
    <n v="58"/>
  </r>
  <r>
    <s v="P1127"/>
    <x v="5"/>
    <x v="1"/>
    <x v="6"/>
    <x v="1"/>
    <n v="81"/>
    <x v="2"/>
    <n v="1446"/>
    <x v="1"/>
    <n v="1"/>
    <n v="95"/>
  </r>
  <r>
    <s v="P1128"/>
    <x v="3"/>
    <x v="2"/>
    <x v="2"/>
    <x v="1"/>
    <n v="53"/>
    <x v="4"/>
    <n v="1763"/>
    <x v="1"/>
    <n v="5"/>
    <n v="57"/>
  </r>
  <r>
    <s v="P1129"/>
    <x v="4"/>
    <x v="0"/>
    <x v="7"/>
    <x v="0"/>
    <n v="38"/>
    <x v="0"/>
    <n v="13337"/>
    <x v="0"/>
    <n v="9"/>
    <n v="76"/>
  </r>
  <r>
    <s v="P1130"/>
    <x v="6"/>
    <x v="1"/>
    <x v="6"/>
    <x v="1"/>
    <n v="71"/>
    <x v="2"/>
    <n v="496"/>
    <x v="1"/>
    <n v="2"/>
    <n v="62"/>
  </r>
  <r>
    <s v="P1131"/>
    <x v="2"/>
    <x v="3"/>
    <x v="5"/>
    <x v="1"/>
    <n v="54"/>
    <x v="4"/>
    <n v="3284"/>
    <x v="1"/>
    <n v="5"/>
    <n v="67"/>
  </r>
  <r>
    <s v="P1132"/>
    <x v="6"/>
    <x v="0"/>
    <x v="3"/>
    <x v="0"/>
    <n v="76"/>
    <x v="2"/>
    <n v="14501"/>
    <x v="0"/>
    <n v="15"/>
    <n v="81"/>
  </r>
  <r>
    <s v="P1133"/>
    <x v="6"/>
    <x v="3"/>
    <x v="6"/>
    <x v="0"/>
    <n v="45"/>
    <x v="4"/>
    <n v="3223"/>
    <x v="1"/>
    <n v="5"/>
    <n v="98"/>
  </r>
  <r>
    <s v="P1134"/>
    <x v="2"/>
    <x v="1"/>
    <x v="6"/>
    <x v="0"/>
    <n v="25"/>
    <x v="5"/>
    <n v="1628"/>
    <x v="1"/>
    <n v="1"/>
    <n v="86"/>
  </r>
  <r>
    <s v="P1135"/>
    <x v="4"/>
    <x v="3"/>
    <x v="8"/>
    <x v="1"/>
    <n v="61"/>
    <x v="2"/>
    <n v="3623"/>
    <x v="1"/>
    <n v="4"/>
    <n v="92"/>
  </r>
  <r>
    <s v="P1136"/>
    <x v="6"/>
    <x v="3"/>
    <x v="6"/>
    <x v="0"/>
    <n v="17"/>
    <x v="6"/>
    <n v="4614"/>
    <x v="1"/>
    <n v="5"/>
    <n v="71"/>
  </r>
  <r>
    <s v="P1137"/>
    <x v="6"/>
    <x v="0"/>
    <x v="6"/>
    <x v="1"/>
    <n v="59"/>
    <x v="4"/>
    <n v="5251"/>
    <x v="1"/>
    <n v="7"/>
    <n v="76"/>
  </r>
  <r>
    <s v="P1138"/>
    <x v="6"/>
    <x v="3"/>
    <x v="5"/>
    <x v="1"/>
    <n v="34"/>
    <x v="0"/>
    <n v="3273"/>
    <x v="1"/>
    <n v="5"/>
    <n v="94"/>
  </r>
  <r>
    <s v="P1139"/>
    <x v="4"/>
    <x v="0"/>
    <x v="4"/>
    <x v="0"/>
    <n v="69"/>
    <x v="2"/>
    <n v="11226"/>
    <x v="0"/>
    <n v="10"/>
    <n v="90"/>
  </r>
  <r>
    <s v="P1140"/>
    <x v="0"/>
    <x v="1"/>
    <x v="2"/>
    <x v="1"/>
    <n v="9"/>
    <x v="3"/>
    <n v="680"/>
    <x v="1"/>
    <n v="3"/>
    <n v="93"/>
  </r>
  <r>
    <s v="P1141"/>
    <x v="5"/>
    <x v="3"/>
    <x v="5"/>
    <x v="1"/>
    <n v="13"/>
    <x v="6"/>
    <n v="1323"/>
    <x v="1"/>
    <n v="4"/>
    <n v="60"/>
  </r>
  <r>
    <s v="P1142"/>
    <x v="0"/>
    <x v="2"/>
    <x v="0"/>
    <x v="1"/>
    <n v="8"/>
    <x v="3"/>
    <n v="3403"/>
    <x v="1"/>
    <n v="7"/>
    <n v="73"/>
  </r>
  <r>
    <s v="P1143"/>
    <x v="4"/>
    <x v="3"/>
    <x v="9"/>
    <x v="0"/>
    <n v="73"/>
    <x v="2"/>
    <n v="1975"/>
    <x v="1"/>
    <n v="2"/>
    <n v="61"/>
  </r>
  <r>
    <s v="P1144"/>
    <x v="1"/>
    <x v="1"/>
    <x v="1"/>
    <x v="0"/>
    <n v="64"/>
    <x v="2"/>
    <n v="1394"/>
    <x v="1"/>
    <n v="1"/>
    <n v="64"/>
  </r>
  <r>
    <s v="P1145"/>
    <x v="4"/>
    <x v="2"/>
    <x v="6"/>
    <x v="1"/>
    <n v="2"/>
    <x v="1"/>
    <n v="4811"/>
    <x v="1"/>
    <n v="6"/>
    <n v="93"/>
  </r>
  <r>
    <s v="P1146"/>
    <x v="2"/>
    <x v="3"/>
    <x v="5"/>
    <x v="1"/>
    <n v="45"/>
    <x v="4"/>
    <n v="2950"/>
    <x v="1"/>
    <n v="4"/>
    <n v="94"/>
  </r>
  <r>
    <s v="P1147"/>
    <x v="5"/>
    <x v="1"/>
    <x v="3"/>
    <x v="1"/>
    <n v="50"/>
    <x v="4"/>
    <n v="1947"/>
    <x v="1"/>
    <n v="2"/>
    <n v="56"/>
  </r>
  <r>
    <s v="P1148"/>
    <x v="3"/>
    <x v="1"/>
    <x v="1"/>
    <x v="1"/>
    <n v="38"/>
    <x v="0"/>
    <n v="1632"/>
    <x v="1"/>
    <n v="2"/>
    <n v="51"/>
  </r>
  <r>
    <s v="P1149"/>
    <x v="6"/>
    <x v="1"/>
    <x v="3"/>
    <x v="1"/>
    <n v="88"/>
    <x v="2"/>
    <n v="1793"/>
    <x v="1"/>
    <n v="3"/>
    <n v="53"/>
  </r>
  <r>
    <s v="P1150"/>
    <x v="2"/>
    <x v="1"/>
    <x v="3"/>
    <x v="0"/>
    <n v="30"/>
    <x v="0"/>
    <n v="1443"/>
    <x v="1"/>
    <n v="2"/>
    <n v="64"/>
  </r>
  <r>
    <s v="P1151"/>
    <x v="0"/>
    <x v="3"/>
    <x v="1"/>
    <x v="1"/>
    <n v="85"/>
    <x v="2"/>
    <n v="1620"/>
    <x v="1"/>
    <n v="1"/>
    <n v="90"/>
  </r>
  <r>
    <s v="P1152"/>
    <x v="0"/>
    <x v="0"/>
    <x v="3"/>
    <x v="0"/>
    <n v="5"/>
    <x v="1"/>
    <n v="14495"/>
    <x v="0"/>
    <n v="10"/>
    <n v="96"/>
  </r>
  <r>
    <s v="P1153"/>
    <x v="3"/>
    <x v="0"/>
    <x v="3"/>
    <x v="1"/>
    <n v="54"/>
    <x v="4"/>
    <n v="7877"/>
    <x v="0"/>
    <n v="8"/>
    <n v="58"/>
  </r>
  <r>
    <s v="P1154"/>
    <x v="6"/>
    <x v="2"/>
    <x v="2"/>
    <x v="0"/>
    <n v="35"/>
    <x v="0"/>
    <n v="2347"/>
    <x v="1"/>
    <n v="6"/>
    <n v="80"/>
  </r>
  <r>
    <s v="P1155"/>
    <x v="6"/>
    <x v="2"/>
    <x v="4"/>
    <x v="0"/>
    <n v="60"/>
    <x v="4"/>
    <n v="1616"/>
    <x v="1"/>
    <n v="4"/>
    <n v="98"/>
  </r>
  <r>
    <s v="P1156"/>
    <x v="3"/>
    <x v="1"/>
    <x v="2"/>
    <x v="1"/>
    <n v="51"/>
    <x v="4"/>
    <n v="228"/>
    <x v="1"/>
    <n v="2"/>
    <n v="84"/>
  </r>
  <r>
    <s v="P1157"/>
    <x v="1"/>
    <x v="1"/>
    <x v="4"/>
    <x v="0"/>
    <n v="87"/>
    <x v="2"/>
    <n v="736"/>
    <x v="1"/>
    <n v="3"/>
    <n v="74"/>
  </r>
  <r>
    <s v="P1158"/>
    <x v="6"/>
    <x v="2"/>
    <x v="5"/>
    <x v="0"/>
    <n v="61"/>
    <x v="2"/>
    <n v="1205"/>
    <x v="1"/>
    <n v="10"/>
    <n v="70"/>
  </r>
  <r>
    <s v="P1159"/>
    <x v="2"/>
    <x v="3"/>
    <x v="5"/>
    <x v="0"/>
    <n v="60"/>
    <x v="4"/>
    <n v="2975"/>
    <x v="1"/>
    <n v="4"/>
    <n v="57"/>
  </r>
  <r>
    <s v="P1160"/>
    <x v="3"/>
    <x v="0"/>
    <x v="0"/>
    <x v="1"/>
    <n v="64"/>
    <x v="2"/>
    <n v="6902"/>
    <x v="1"/>
    <n v="6"/>
    <n v="65"/>
  </r>
  <r>
    <s v="P1161"/>
    <x v="2"/>
    <x v="3"/>
    <x v="8"/>
    <x v="1"/>
    <n v="86"/>
    <x v="2"/>
    <n v="4925"/>
    <x v="1"/>
    <n v="4"/>
    <n v="87"/>
  </r>
  <r>
    <s v="P1162"/>
    <x v="0"/>
    <x v="3"/>
    <x v="8"/>
    <x v="0"/>
    <n v="63"/>
    <x v="2"/>
    <n v="3843"/>
    <x v="1"/>
    <n v="3"/>
    <n v="52"/>
  </r>
  <r>
    <s v="P1163"/>
    <x v="0"/>
    <x v="2"/>
    <x v="9"/>
    <x v="1"/>
    <n v="31"/>
    <x v="0"/>
    <n v="3971"/>
    <x v="1"/>
    <n v="3"/>
    <n v="93"/>
  </r>
  <r>
    <s v="P1164"/>
    <x v="5"/>
    <x v="2"/>
    <x v="0"/>
    <x v="1"/>
    <n v="25"/>
    <x v="5"/>
    <n v="2000"/>
    <x v="1"/>
    <n v="9"/>
    <n v="55"/>
  </r>
  <r>
    <s v="P1165"/>
    <x v="0"/>
    <x v="3"/>
    <x v="1"/>
    <x v="0"/>
    <n v="7"/>
    <x v="3"/>
    <n v="3232"/>
    <x v="1"/>
    <n v="2"/>
    <n v="58"/>
  </r>
  <r>
    <s v="P1166"/>
    <x v="6"/>
    <x v="3"/>
    <x v="5"/>
    <x v="0"/>
    <n v="71"/>
    <x v="2"/>
    <n v="2197"/>
    <x v="1"/>
    <n v="5"/>
    <n v="63"/>
  </r>
  <r>
    <s v="P1167"/>
    <x v="6"/>
    <x v="3"/>
    <x v="4"/>
    <x v="0"/>
    <n v="77"/>
    <x v="2"/>
    <n v="523"/>
    <x v="1"/>
    <n v="3"/>
    <n v="59"/>
  </r>
  <r>
    <s v="P1168"/>
    <x v="3"/>
    <x v="2"/>
    <x v="7"/>
    <x v="1"/>
    <n v="4"/>
    <x v="1"/>
    <n v="2079"/>
    <x v="1"/>
    <n v="2"/>
    <n v="72"/>
  </r>
  <r>
    <s v="P1169"/>
    <x v="6"/>
    <x v="3"/>
    <x v="1"/>
    <x v="1"/>
    <n v="23"/>
    <x v="5"/>
    <n v="2673"/>
    <x v="1"/>
    <n v="1"/>
    <n v="58"/>
  </r>
  <r>
    <s v="P1170"/>
    <x v="0"/>
    <x v="1"/>
    <x v="2"/>
    <x v="1"/>
    <n v="9"/>
    <x v="3"/>
    <n v="1175"/>
    <x v="1"/>
    <n v="2"/>
    <n v="99"/>
  </r>
  <r>
    <s v="P1171"/>
    <x v="5"/>
    <x v="0"/>
    <x v="6"/>
    <x v="0"/>
    <n v="79"/>
    <x v="2"/>
    <n v="5710"/>
    <x v="1"/>
    <n v="15"/>
    <n v="83"/>
  </r>
  <r>
    <s v="P1172"/>
    <x v="5"/>
    <x v="1"/>
    <x v="0"/>
    <x v="1"/>
    <n v="62"/>
    <x v="2"/>
    <n v="1935"/>
    <x v="1"/>
    <n v="2"/>
    <n v="77"/>
  </r>
  <r>
    <s v="P1173"/>
    <x v="0"/>
    <x v="0"/>
    <x v="6"/>
    <x v="0"/>
    <n v="57"/>
    <x v="4"/>
    <n v="6204"/>
    <x v="1"/>
    <n v="6"/>
    <n v="70"/>
  </r>
  <r>
    <s v="P1174"/>
    <x v="2"/>
    <x v="3"/>
    <x v="5"/>
    <x v="1"/>
    <n v="80"/>
    <x v="2"/>
    <n v="4992"/>
    <x v="1"/>
    <n v="3"/>
    <n v="74"/>
  </r>
  <r>
    <s v="P1175"/>
    <x v="2"/>
    <x v="2"/>
    <x v="6"/>
    <x v="0"/>
    <n v="56"/>
    <x v="4"/>
    <n v="1812"/>
    <x v="1"/>
    <n v="3"/>
    <n v="91"/>
  </r>
  <r>
    <s v="P1176"/>
    <x v="0"/>
    <x v="3"/>
    <x v="8"/>
    <x v="1"/>
    <n v="30"/>
    <x v="0"/>
    <n v="3889"/>
    <x v="1"/>
    <n v="3"/>
    <n v="79"/>
  </r>
  <r>
    <s v="P1177"/>
    <x v="4"/>
    <x v="1"/>
    <x v="5"/>
    <x v="1"/>
    <n v="41"/>
    <x v="0"/>
    <n v="1562"/>
    <x v="1"/>
    <n v="2"/>
    <n v="73"/>
  </r>
  <r>
    <s v="P1178"/>
    <x v="3"/>
    <x v="1"/>
    <x v="5"/>
    <x v="1"/>
    <n v="11"/>
    <x v="3"/>
    <n v="390"/>
    <x v="1"/>
    <n v="2"/>
    <n v="56"/>
  </r>
  <r>
    <s v="P1179"/>
    <x v="0"/>
    <x v="2"/>
    <x v="7"/>
    <x v="0"/>
    <n v="76"/>
    <x v="2"/>
    <n v="5600"/>
    <x v="1"/>
    <n v="10"/>
    <n v="71"/>
  </r>
  <r>
    <s v="P1180"/>
    <x v="0"/>
    <x v="0"/>
    <x v="8"/>
    <x v="1"/>
    <n v="86"/>
    <x v="2"/>
    <n v="17292"/>
    <x v="0"/>
    <n v="11"/>
    <n v="96"/>
  </r>
  <r>
    <s v="P1181"/>
    <x v="1"/>
    <x v="2"/>
    <x v="1"/>
    <x v="1"/>
    <n v="14"/>
    <x v="6"/>
    <n v="5734"/>
    <x v="1"/>
    <n v="10"/>
    <n v="63"/>
  </r>
  <r>
    <s v="P1182"/>
    <x v="3"/>
    <x v="1"/>
    <x v="9"/>
    <x v="0"/>
    <n v="45"/>
    <x v="4"/>
    <n v="1931"/>
    <x v="1"/>
    <n v="3"/>
    <n v="73"/>
  </r>
  <r>
    <s v="P1183"/>
    <x v="1"/>
    <x v="2"/>
    <x v="1"/>
    <x v="1"/>
    <n v="55"/>
    <x v="4"/>
    <n v="5595"/>
    <x v="1"/>
    <n v="10"/>
    <n v="51"/>
  </r>
  <r>
    <s v="P1184"/>
    <x v="2"/>
    <x v="2"/>
    <x v="0"/>
    <x v="1"/>
    <n v="90"/>
    <x v="2"/>
    <n v="3531"/>
    <x v="1"/>
    <n v="7"/>
    <n v="72"/>
  </r>
  <r>
    <s v="P1185"/>
    <x v="1"/>
    <x v="3"/>
    <x v="7"/>
    <x v="0"/>
    <n v="52"/>
    <x v="4"/>
    <n v="1070"/>
    <x v="1"/>
    <n v="2"/>
    <n v="97"/>
  </r>
  <r>
    <s v="P1186"/>
    <x v="0"/>
    <x v="0"/>
    <x v="5"/>
    <x v="0"/>
    <n v="28"/>
    <x v="5"/>
    <n v="11163"/>
    <x v="0"/>
    <n v="11"/>
    <n v="79"/>
  </r>
  <r>
    <s v="P1187"/>
    <x v="5"/>
    <x v="3"/>
    <x v="4"/>
    <x v="1"/>
    <n v="42"/>
    <x v="0"/>
    <n v="1195"/>
    <x v="1"/>
    <n v="1"/>
    <n v="59"/>
  </r>
  <r>
    <s v="P1188"/>
    <x v="3"/>
    <x v="0"/>
    <x v="5"/>
    <x v="1"/>
    <n v="85"/>
    <x v="2"/>
    <n v="11947"/>
    <x v="0"/>
    <n v="12"/>
    <n v="88"/>
  </r>
  <r>
    <s v="P1189"/>
    <x v="4"/>
    <x v="1"/>
    <x v="3"/>
    <x v="1"/>
    <n v="66"/>
    <x v="2"/>
    <n v="433"/>
    <x v="1"/>
    <n v="2"/>
    <n v="77"/>
  </r>
  <r>
    <s v="P1190"/>
    <x v="1"/>
    <x v="2"/>
    <x v="1"/>
    <x v="1"/>
    <n v="86"/>
    <x v="2"/>
    <n v="3526"/>
    <x v="1"/>
    <n v="2"/>
    <n v="64"/>
  </r>
  <r>
    <s v="P1191"/>
    <x v="4"/>
    <x v="0"/>
    <x v="0"/>
    <x v="1"/>
    <n v="28"/>
    <x v="5"/>
    <n v="17572"/>
    <x v="0"/>
    <n v="7"/>
    <n v="98"/>
  </r>
  <r>
    <s v="P1192"/>
    <x v="5"/>
    <x v="2"/>
    <x v="4"/>
    <x v="1"/>
    <n v="64"/>
    <x v="2"/>
    <n v="4527"/>
    <x v="1"/>
    <n v="4"/>
    <n v="58"/>
  </r>
  <r>
    <s v="P1193"/>
    <x v="4"/>
    <x v="3"/>
    <x v="2"/>
    <x v="0"/>
    <n v="86"/>
    <x v="2"/>
    <n v="3401"/>
    <x v="1"/>
    <n v="1"/>
    <n v="75"/>
  </r>
  <r>
    <s v="P1194"/>
    <x v="6"/>
    <x v="0"/>
    <x v="8"/>
    <x v="1"/>
    <n v="10"/>
    <x v="3"/>
    <n v="19124"/>
    <x v="0"/>
    <n v="10"/>
    <n v="86"/>
  </r>
  <r>
    <s v="P1195"/>
    <x v="4"/>
    <x v="1"/>
    <x v="8"/>
    <x v="1"/>
    <n v="52"/>
    <x v="4"/>
    <n v="242"/>
    <x v="1"/>
    <n v="2"/>
    <n v="60"/>
  </r>
  <r>
    <s v="P1196"/>
    <x v="6"/>
    <x v="1"/>
    <x v="4"/>
    <x v="1"/>
    <n v="14"/>
    <x v="6"/>
    <n v="698"/>
    <x v="1"/>
    <n v="2"/>
    <n v="87"/>
  </r>
  <r>
    <s v="P1197"/>
    <x v="4"/>
    <x v="0"/>
    <x v="8"/>
    <x v="0"/>
    <n v="44"/>
    <x v="0"/>
    <n v="8630"/>
    <x v="0"/>
    <n v="10"/>
    <n v="99"/>
  </r>
  <r>
    <s v="P1198"/>
    <x v="3"/>
    <x v="0"/>
    <x v="2"/>
    <x v="0"/>
    <n v="68"/>
    <x v="2"/>
    <n v="13355"/>
    <x v="0"/>
    <n v="8"/>
    <n v="99"/>
  </r>
  <r>
    <s v="P1199"/>
    <x v="5"/>
    <x v="2"/>
    <x v="7"/>
    <x v="1"/>
    <n v="19"/>
    <x v="6"/>
    <n v="3096"/>
    <x v="1"/>
    <n v="5"/>
    <n v="61"/>
  </r>
  <r>
    <s v="P1200"/>
    <x v="2"/>
    <x v="3"/>
    <x v="5"/>
    <x v="1"/>
    <n v="81"/>
    <x v="2"/>
    <n v="4547"/>
    <x v="1"/>
    <n v="4"/>
    <n v="98"/>
  </r>
  <r>
    <s v="P1201"/>
    <x v="2"/>
    <x v="1"/>
    <x v="1"/>
    <x v="0"/>
    <n v="80"/>
    <x v="2"/>
    <n v="861"/>
    <x v="1"/>
    <n v="3"/>
    <n v="70"/>
  </r>
  <r>
    <s v="P1202"/>
    <x v="3"/>
    <x v="1"/>
    <x v="5"/>
    <x v="1"/>
    <n v="81"/>
    <x v="2"/>
    <n v="820"/>
    <x v="1"/>
    <n v="2"/>
    <n v="87"/>
  </r>
  <r>
    <s v="P1203"/>
    <x v="1"/>
    <x v="2"/>
    <x v="2"/>
    <x v="1"/>
    <n v="60"/>
    <x v="4"/>
    <n v="4702"/>
    <x v="1"/>
    <n v="2"/>
    <n v="53"/>
  </r>
  <r>
    <s v="P1204"/>
    <x v="5"/>
    <x v="2"/>
    <x v="5"/>
    <x v="0"/>
    <n v="12"/>
    <x v="3"/>
    <n v="6038"/>
    <x v="1"/>
    <n v="10"/>
    <n v="74"/>
  </r>
  <r>
    <s v="P1205"/>
    <x v="4"/>
    <x v="0"/>
    <x v="6"/>
    <x v="0"/>
    <n v="74"/>
    <x v="2"/>
    <n v="15679"/>
    <x v="0"/>
    <n v="8"/>
    <n v="70"/>
  </r>
  <r>
    <s v="P1206"/>
    <x v="2"/>
    <x v="1"/>
    <x v="2"/>
    <x v="1"/>
    <n v="8"/>
    <x v="3"/>
    <n v="1122"/>
    <x v="1"/>
    <n v="1"/>
    <n v="71"/>
  </r>
  <r>
    <s v="P1207"/>
    <x v="0"/>
    <x v="0"/>
    <x v="2"/>
    <x v="0"/>
    <n v="6"/>
    <x v="3"/>
    <n v="9059"/>
    <x v="0"/>
    <n v="12"/>
    <n v="78"/>
  </r>
  <r>
    <s v="P1208"/>
    <x v="2"/>
    <x v="3"/>
    <x v="4"/>
    <x v="1"/>
    <n v="37"/>
    <x v="0"/>
    <n v="3673"/>
    <x v="1"/>
    <n v="4"/>
    <n v="99"/>
  </r>
  <r>
    <s v="P1209"/>
    <x v="5"/>
    <x v="0"/>
    <x v="4"/>
    <x v="1"/>
    <n v="13"/>
    <x v="6"/>
    <n v="14141"/>
    <x v="0"/>
    <n v="15"/>
    <n v="74"/>
  </r>
  <r>
    <s v="P1210"/>
    <x v="5"/>
    <x v="2"/>
    <x v="1"/>
    <x v="0"/>
    <n v="43"/>
    <x v="0"/>
    <n v="1667"/>
    <x v="1"/>
    <n v="4"/>
    <n v="72"/>
  </r>
  <r>
    <s v="P1211"/>
    <x v="5"/>
    <x v="1"/>
    <x v="7"/>
    <x v="0"/>
    <n v="11"/>
    <x v="3"/>
    <n v="834"/>
    <x v="1"/>
    <n v="3"/>
    <n v="74"/>
  </r>
  <r>
    <s v="P1212"/>
    <x v="0"/>
    <x v="2"/>
    <x v="7"/>
    <x v="0"/>
    <n v="88"/>
    <x v="2"/>
    <n v="5312"/>
    <x v="1"/>
    <n v="3"/>
    <n v="91"/>
  </r>
  <r>
    <s v="P1213"/>
    <x v="0"/>
    <x v="1"/>
    <x v="2"/>
    <x v="1"/>
    <n v="47"/>
    <x v="4"/>
    <n v="832"/>
    <x v="1"/>
    <n v="1"/>
    <n v="63"/>
  </r>
  <r>
    <s v="P1214"/>
    <x v="5"/>
    <x v="1"/>
    <x v="9"/>
    <x v="1"/>
    <n v="18"/>
    <x v="6"/>
    <n v="517"/>
    <x v="1"/>
    <n v="1"/>
    <n v="68"/>
  </r>
  <r>
    <s v="P1215"/>
    <x v="6"/>
    <x v="0"/>
    <x v="2"/>
    <x v="0"/>
    <n v="68"/>
    <x v="2"/>
    <n v="5618"/>
    <x v="1"/>
    <n v="15"/>
    <n v="71"/>
  </r>
  <r>
    <s v="P1216"/>
    <x v="6"/>
    <x v="3"/>
    <x v="1"/>
    <x v="1"/>
    <n v="21"/>
    <x v="5"/>
    <n v="1981"/>
    <x v="1"/>
    <n v="5"/>
    <n v="60"/>
  </r>
  <r>
    <s v="P1217"/>
    <x v="0"/>
    <x v="1"/>
    <x v="0"/>
    <x v="1"/>
    <n v="87"/>
    <x v="2"/>
    <n v="1673"/>
    <x v="1"/>
    <n v="1"/>
    <n v="78"/>
  </r>
  <r>
    <s v="P1218"/>
    <x v="2"/>
    <x v="2"/>
    <x v="6"/>
    <x v="1"/>
    <n v="31"/>
    <x v="0"/>
    <n v="3535"/>
    <x v="1"/>
    <n v="9"/>
    <n v="62"/>
  </r>
  <r>
    <s v="P1219"/>
    <x v="5"/>
    <x v="1"/>
    <x v="6"/>
    <x v="0"/>
    <n v="49"/>
    <x v="4"/>
    <n v="1229"/>
    <x v="1"/>
    <n v="3"/>
    <n v="76"/>
  </r>
  <r>
    <s v="P1220"/>
    <x v="3"/>
    <x v="3"/>
    <x v="1"/>
    <x v="1"/>
    <n v="33"/>
    <x v="0"/>
    <n v="927"/>
    <x v="1"/>
    <n v="4"/>
    <n v="73"/>
  </r>
  <r>
    <s v="P1221"/>
    <x v="2"/>
    <x v="0"/>
    <x v="2"/>
    <x v="0"/>
    <n v="37"/>
    <x v="0"/>
    <n v="6374"/>
    <x v="1"/>
    <n v="7"/>
    <n v="67"/>
  </r>
  <r>
    <s v="P1222"/>
    <x v="4"/>
    <x v="3"/>
    <x v="8"/>
    <x v="1"/>
    <n v="29"/>
    <x v="5"/>
    <n v="4195"/>
    <x v="1"/>
    <n v="3"/>
    <n v="51"/>
  </r>
  <r>
    <s v="P1223"/>
    <x v="4"/>
    <x v="0"/>
    <x v="8"/>
    <x v="0"/>
    <n v="31"/>
    <x v="0"/>
    <n v="11326"/>
    <x v="0"/>
    <n v="6"/>
    <n v="73"/>
  </r>
  <r>
    <s v="P1224"/>
    <x v="3"/>
    <x v="0"/>
    <x v="4"/>
    <x v="0"/>
    <n v="84"/>
    <x v="2"/>
    <n v="10493"/>
    <x v="0"/>
    <n v="7"/>
    <n v="58"/>
  </r>
  <r>
    <s v="P1225"/>
    <x v="1"/>
    <x v="2"/>
    <x v="6"/>
    <x v="0"/>
    <n v="18"/>
    <x v="6"/>
    <n v="6779"/>
    <x v="1"/>
    <n v="9"/>
    <n v="78"/>
  </r>
  <r>
    <s v="P1226"/>
    <x v="2"/>
    <x v="0"/>
    <x v="5"/>
    <x v="1"/>
    <n v="28"/>
    <x v="5"/>
    <n v="18680"/>
    <x v="0"/>
    <n v="7"/>
    <n v="85"/>
  </r>
  <r>
    <s v="P1227"/>
    <x v="0"/>
    <x v="1"/>
    <x v="5"/>
    <x v="0"/>
    <n v="31"/>
    <x v="0"/>
    <n v="816"/>
    <x v="1"/>
    <n v="1"/>
    <n v="53"/>
  </r>
  <r>
    <s v="P1228"/>
    <x v="3"/>
    <x v="1"/>
    <x v="1"/>
    <x v="1"/>
    <n v="15"/>
    <x v="6"/>
    <n v="1913"/>
    <x v="1"/>
    <n v="2"/>
    <n v="88"/>
  </r>
  <r>
    <s v="P1229"/>
    <x v="2"/>
    <x v="0"/>
    <x v="2"/>
    <x v="0"/>
    <n v="19"/>
    <x v="6"/>
    <n v="9772"/>
    <x v="0"/>
    <n v="11"/>
    <n v="50"/>
  </r>
  <r>
    <s v="P1230"/>
    <x v="2"/>
    <x v="2"/>
    <x v="9"/>
    <x v="0"/>
    <n v="24"/>
    <x v="5"/>
    <n v="6442"/>
    <x v="1"/>
    <n v="3"/>
    <n v="83"/>
  </r>
  <r>
    <s v="P1231"/>
    <x v="5"/>
    <x v="0"/>
    <x v="2"/>
    <x v="0"/>
    <n v="65"/>
    <x v="2"/>
    <n v="14079"/>
    <x v="0"/>
    <n v="5"/>
    <n v="74"/>
  </r>
  <r>
    <s v="P1232"/>
    <x v="6"/>
    <x v="1"/>
    <x v="0"/>
    <x v="0"/>
    <n v="48"/>
    <x v="4"/>
    <n v="719"/>
    <x v="1"/>
    <n v="3"/>
    <n v="51"/>
  </r>
  <r>
    <s v="P1233"/>
    <x v="5"/>
    <x v="0"/>
    <x v="4"/>
    <x v="1"/>
    <n v="85"/>
    <x v="2"/>
    <n v="15293"/>
    <x v="0"/>
    <n v="6"/>
    <n v="99"/>
  </r>
  <r>
    <s v="P1234"/>
    <x v="2"/>
    <x v="2"/>
    <x v="7"/>
    <x v="1"/>
    <n v="70"/>
    <x v="2"/>
    <n v="3773"/>
    <x v="1"/>
    <n v="4"/>
    <n v="99"/>
  </r>
  <r>
    <s v="P1235"/>
    <x v="0"/>
    <x v="1"/>
    <x v="6"/>
    <x v="0"/>
    <n v="18"/>
    <x v="6"/>
    <n v="329"/>
    <x v="1"/>
    <n v="3"/>
    <n v="99"/>
  </r>
  <r>
    <s v="P1236"/>
    <x v="4"/>
    <x v="0"/>
    <x v="3"/>
    <x v="1"/>
    <n v="26"/>
    <x v="5"/>
    <n v="19512"/>
    <x v="0"/>
    <n v="5"/>
    <n v="70"/>
  </r>
  <r>
    <s v="P1237"/>
    <x v="5"/>
    <x v="1"/>
    <x v="2"/>
    <x v="1"/>
    <n v="5"/>
    <x v="1"/>
    <n v="1742"/>
    <x v="1"/>
    <n v="3"/>
    <n v="62"/>
  </r>
  <r>
    <s v="P1238"/>
    <x v="5"/>
    <x v="2"/>
    <x v="0"/>
    <x v="0"/>
    <n v="43"/>
    <x v="0"/>
    <n v="3238"/>
    <x v="1"/>
    <n v="3"/>
    <n v="73"/>
  </r>
  <r>
    <s v="P1239"/>
    <x v="4"/>
    <x v="1"/>
    <x v="6"/>
    <x v="0"/>
    <n v="50"/>
    <x v="4"/>
    <n v="894"/>
    <x v="1"/>
    <n v="1"/>
    <n v="81"/>
  </r>
  <r>
    <s v="P1240"/>
    <x v="0"/>
    <x v="1"/>
    <x v="4"/>
    <x v="0"/>
    <n v="67"/>
    <x v="2"/>
    <n v="746"/>
    <x v="1"/>
    <n v="1"/>
    <n v="96"/>
  </r>
  <r>
    <s v="P1241"/>
    <x v="4"/>
    <x v="0"/>
    <x v="8"/>
    <x v="0"/>
    <n v="24"/>
    <x v="5"/>
    <n v="13937"/>
    <x v="0"/>
    <n v="9"/>
    <n v="70"/>
  </r>
  <r>
    <s v="P1242"/>
    <x v="1"/>
    <x v="0"/>
    <x v="4"/>
    <x v="0"/>
    <n v="40"/>
    <x v="0"/>
    <n v="12305"/>
    <x v="0"/>
    <n v="14"/>
    <n v="95"/>
  </r>
  <r>
    <s v="P1243"/>
    <x v="4"/>
    <x v="3"/>
    <x v="6"/>
    <x v="1"/>
    <n v="6"/>
    <x v="3"/>
    <n v="3388"/>
    <x v="1"/>
    <n v="5"/>
    <n v="77"/>
  </r>
  <r>
    <s v="P1244"/>
    <x v="5"/>
    <x v="0"/>
    <x v="5"/>
    <x v="0"/>
    <n v="52"/>
    <x v="4"/>
    <n v="10952"/>
    <x v="0"/>
    <n v="13"/>
    <n v="97"/>
  </r>
  <r>
    <s v="P1245"/>
    <x v="0"/>
    <x v="3"/>
    <x v="0"/>
    <x v="1"/>
    <n v="78"/>
    <x v="2"/>
    <n v="4089"/>
    <x v="1"/>
    <n v="1"/>
    <n v="58"/>
  </r>
  <r>
    <s v="P1246"/>
    <x v="1"/>
    <x v="3"/>
    <x v="4"/>
    <x v="1"/>
    <n v="73"/>
    <x v="2"/>
    <n v="765"/>
    <x v="1"/>
    <n v="5"/>
    <n v="59"/>
  </r>
  <r>
    <s v="P1247"/>
    <x v="0"/>
    <x v="1"/>
    <x v="4"/>
    <x v="1"/>
    <n v="10"/>
    <x v="3"/>
    <n v="1375"/>
    <x v="1"/>
    <n v="1"/>
    <n v="83"/>
  </r>
  <r>
    <s v="P1248"/>
    <x v="5"/>
    <x v="1"/>
    <x v="4"/>
    <x v="0"/>
    <n v="32"/>
    <x v="0"/>
    <n v="432"/>
    <x v="1"/>
    <n v="1"/>
    <n v="97"/>
  </r>
  <r>
    <s v="P1249"/>
    <x v="3"/>
    <x v="1"/>
    <x v="2"/>
    <x v="1"/>
    <n v="72"/>
    <x v="2"/>
    <n v="441"/>
    <x v="1"/>
    <n v="2"/>
    <n v="99"/>
  </r>
  <r>
    <s v="P1250"/>
    <x v="5"/>
    <x v="1"/>
    <x v="9"/>
    <x v="2"/>
    <n v="37"/>
    <x v="0"/>
    <n v="1621"/>
    <x v="1"/>
    <n v="2"/>
    <n v="62"/>
  </r>
  <r>
    <s v="P1251"/>
    <x v="1"/>
    <x v="3"/>
    <x v="5"/>
    <x v="1"/>
    <n v="57"/>
    <x v="4"/>
    <n v="1219"/>
    <x v="1"/>
    <n v="3"/>
    <n v="92"/>
  </r>
  <r>
    <s v="P1252"/>
    <x v="5"/>
    <x v="0"/>
    <x v="2"/>
    <x v="0"/>
    <n v="39"/>
    <x v="0"/>
    <n v="18948"/>
    <x v="0"/>
    <n v="7"/>
    <n v="95"/>
  </r>
  <r>
    <s v="P1253"/>
    <x v="0"/>
    <x v="3"/>
    <x v="4"/>
    <x v="0"/>
    <n v="16"/>
    <x v="6"/>
    <n v="2146"/>
    <x v="1"/>
    <n v="2"/>
    <n v="65"/>
  </r>
  <r>
    <s v="P1254"/>
    <x v="6"/>
    <x v="1"/>
    <x v="0"/>
    <x v="1"/>
    <n v="74"/>
    <x v="2"/>
    <n v="955"/>
    <x v="1"/>
    <n v="2"/>
    <n v="85"/>
  </r>
  <r>
    <s v="P1255"/>
    <x v="3"/>
    <x v="0"/>
    <x v="5"/>
    <x v="1"/>
    <n v="62"/>
    <x v="2"/>
    <n v="13612"/>
    <x v="0"/>
    <n v="11"/>
    <n v="99"/>
  </r>
  <r>
    <s v="P1256"/>
    <x v="4"/>
    <x v="0"/>
    <x v="7"/>
    <x v="0"/>
    <n v="83"/>
    <x v="2"/>
    <n v="6215"/>
    <x v="1"/>
    <n v="12"/>
    <n v="79"/>
  </r>
  <r>
    <s v="P1257"/>
    <x v="0"/>
    <x v="2"/>
    <x v="7"/>
    <x v="0"/>
    <n v="71"/>
    <x v="2"/>
    <n v="6241"/>
    <x v="1"/>
    <n v="4"/>
    <n v="99"/>
  </r>
  <r>
    <s v="P1258"/>
    <x v="3"/>
    <x v="1"/>
    <x v="2"/>
    <x v="0"/>
    <n v="8"/>
    <x v="3"/>
    <n v="1902"/>
    <x v="1"/>
    <n v="1"/>
    <n v="83"/>
  </r>
  <r>
    <s v="P1259"/>
    <x v="3"/>
    <x v="2"/>
    <x v="7"/>
    <x v="1"/>
    <n v="29"/>
    <x v="5"/>
    <n v="3834"/>
    <x v="1"/>
    <n v="10"/>
    <n v="68"/>
  </r>
  <r>
    <s v="P1260"/>
    <x v="6"/>
    <x v="0"/>
    <x v="3"/>
    <x v="1"/>
    <n v="71"/>
    <x v="2"/>
    <n v="9496"/>
    <x v="0"/>
    <n v="7"/>
    <n v="90"/>
  </r>
  <r>
    <s v="P1261"/>
    <x v="5"/>
    <x v="0"/>
    <x v="2"/>
    <x v="0"/>
    <n v="76"/>
    <x v="2"/>
    <n v="14513"/>
    <x v="0"/>
    <n v="7"/>
    <n v="60"/>
  </r>
  <r>
    <s v="P1262"/>
    <x v="0"/>
    <x v="2"/>
    <x v="1"/>
    <x v="1"/>
    <n v="4"/>
    <x v="1"/>
    <n v="1665"/>
    <x v="1"/>
    <n v="2"/>
    <n v="91"/>
  </r>
  <r>
    <s v="P1263"/>
    <x v="6"/>
    <x v="2"/>
    <x v="9"/>
    <x v="0"/>
    <n v="54"/>
    <x v="4"/>
    <n v="6063"/>
    <x v="1"/>
    <n v="2"/>
    <n v="81"/>
  </r>
  <r>
    <s v="P1264"/>
    <x v="0"/>
    <x v="2"/>
    <x v="3"/>
    <x v="1"/>
    <n v="88"/>
    <x v="2"/>
    <n v="4326"/>
    <x v="1"/>
    <n v="6"/>
    <n v="79"/>
  </r>
  <r>
    <s v="P1265"/>
    <x v="1"/>
    <x v="0"/>
    <x v="7"/>
    <x v="1"/>
    <n v="62"/>
    <x v="2"/>
    <n v="12609"/>
    <x v="0"/>
    <n v="8"/>
    <n v="71"/>
  </r>
  <r>
    <s v="P1266"/>
    <x v="2"/>
    <x v="3"/>
    <x v="4"/>
    <x v="0"/>
    <n v="41"/>
    <x v="0"/>
    <n v="3329"/>
    <x v="1"/>
    <n v="4"/>
    <n v="58"/>
  </r>
  <r>
    <s v="P1267"/>
    <x v="6"/>
    <x v="2"/>
    <x v="2"/>
    <x v="0"/>
    <n v="41"/>
    <x v="0"/>
    <n v="2980"/>
    <x v="1"/>
    <n v="9"/>
    <n v="57"/>
  </r>
  <r>
    <s v="P1268"/>
    <x v="5"/>
    <x v="1"/>
    <x v="9"/>
    <x v="1"/>
    <n v="7"/>
    <x v="3"/>
    <n v="794"/>
    <x v="1"/>
    <n v="2"/>
    <n v="89"/>
  </r>
  <r>
    <s v="P1269"/>
    <x v="4"/>
    <x v="3"/>
    <x v="7"/>
    <x v="0"/>
    <n v="74"/>
    <x v="2"/>
    <n v="3061"/>
    <x v="1"/>
    <n v="2"/>
    <n v="98"/>
  </r>
  <r>
    <s v="P1270"/>
    <x v="3"/>
    <x v="1"/>
    <x v="2"/>
    <x v="1"/>
    <n v="40"/>
    <x v="0"/>
    <n v="1218"/>
    <x v="1"/>
    <n v="1"/>
    <n v="55"/>
  </r>
  <r>
    <s v="P1271"/>
    <x v="4"/>
    <x v="1"/>
    <x v="9"/>
    <x v="1"/>
    <n v="46"/>
    <x v="4"/>
    <n v="299"/>
    <x v="1"/>
    <n v="1"/>
    <n v="68"/>
  </r>
  <r>
    <s v="P1272"/>
    <x v="4"/>
    <x v="1"/>
    <x v="3"/>
    <x v="0"/>
    <n v="14"/>
    <x v="6"/>
    <n v="1082"/>
    <x v="1"/>
    <n v="1"/>
    <n v="66"/>
  </r>
  <r>
    <s v="P1273"/>
    <x v="0"/>
    <x v="2"/>
    <x v="8"/>
    <x v="1"/>
    <n v="52"/>
    <x v="4"/>
    <n v="1419"/>
    <x v="1"/>
    <n v="10"/>
    <n v="62"/>
  </r>
  <r>
    <s v="P1274"/>
    <x v="5"/>
    <x v="2"/>
    <x v="5"/>
    <x v="1"/>
    <n v="58"/>
    <x v="4"/>
    <n v="5504"/>
    <x v="1"/>
    <n v="6"/>
    <n v="89"/>
  </r>
  <r>
    <s v="P1275"/>
    <x v="0"/>
    <x v="0"/>
    <x v="7"/>
    <x v="0"/>
    <n v="51"/>
    <x v="4"/>
    <n v="11114"/>
    <x v="0"/>
    <n v="10"/>
    <n v="85"/>
  </r>
  <r>
    <s v="P1276"/>
    <x v="5"/>
    <x v="3"/>
    <x v="9"/>
    <x v="0"/>
    <n v="52"/>
    <x v="4"/>
    <n v="4596"/>
    <x v="1"/>
    <n v="1"/>
    <n v="52"/>
  </r>
  <r>
    <s v="P1277"/>
    <x v="1"/>
    <x v="3"/>
    <x v="4"/>
    <x v="0"/>
    <n v="67"/>
    <x v="2"/>
    <n v="4243"/>
    <x v="1"/>
    <n v="2"/>
    <n v="88"/>
  </r>
  <r>
    <s v="P1278"/>
    <x v="2"/>
    <x v="3"/>
    <x v="4"/>
    <x v="0"/>
    <n v="41"/>
    <x v="0"/>
    <n v="1831"/>
    <x v="1"/>
    <n v="4"/>
    <n v="89"/>
  </r>
  <r>
    <s v="P1279"/>
    <x v="0"/>
    <x v="2"/>
    <x v="1"/>
    <x v="1"/>
    <n v="66"/>
    <x v="2"/>
    <n v="5360"/>
    <x v="1"/>
    <n v="9"/>
    <n v="95"/>
  </r>
  <r>
    <s v="P1280"/>
    <x v="2"/>
    <x v="2"/>
    <x v="6"/>
    <x v="0"/>
    <n v="48"/>
    <x v="4"/>
    <n v="3713"/>
    <x v="1"/>
    <n v="3"/>
    <n v="76"/>
  </r>
  <r>
    <s v="P1281"/>
    <x v="2"/>
    <x v="2"/>
    <x v="0"/>
    <x v="0"/>
    <n v="34"/>
    <x v="0"/>
    <n v="6370"/>
    <x v="1"/>
    <n v="5"/>
    <n v="96"/>
  </r>
  <r>
    <s v="P1282"/>
    <x v="1"/>
    <x v="1"/>
    <x v="7"/>
    <x v="0"/>
    <n v="80"/>
    <x v="2"/>
    <n v="1786"/>
    <x v="1"/>
    <n v="2"/>
    <n v="59"/>
  </r>
  <r>
    <s v="P1283"/>
    <x v="6"/>
    <x v="3"/>
    <x v="0"/>
    <x v="0"/>
    <n v="90"/>
    <x v="2"/>
    <n v="1400"/>
    <x v="1"/>
    <n v="2"/>
    <n v="51"/>
  </r>
  <r>
    <s v="P1284"/>
    <x v="4"/>
    <x v="2"/>
    <x v="8"/>
    <x v="1"/>
    <n v="89"/>
    <x v="2"/>
    <n v="2670"/>
    <x v="1"/>
    <n v="8"/>
    <n v="82"/>
  </r>
  <r>
    <s v="P1285"/>
    <x v="6"/>
    <x v="1"/>
    <x v="0"/>
    <x v="0"/>
    <n v="67"/>
    <x v="2"/>
    <n v="624"/>
    <x v="1"/>
    <n v="3"/>
    <n v="70"/>
  </r>
  <r>
    <s v="P1286"/>
    <x v="0"/>
    <x v="1"/>
    <x v="2"/>
    <x v="1"/>
    <n v="23"/>
    <x v="5"/>
    <n v="1141"/>
    <x v="1"/>
    <n v="3"/>
    <n v="71"/>
  </r>
  <r>
    <s v="P1287"/>
    <x v="2"/>
    <x v="2"/>
    <x v="3"/>
    <x v="0"/>
    <n v="25"/>
    <x v="5"/>
    <n v="3019"/>
    <x v="1"/>
    <n v="6"/>
    <n v="85"/>
  </r>
  <r>
    <s v="P1288"/>
    <x v="5"/>
    <x v="3"/>
    <x v="3"/>
    <x v="0"/>
    <n v="27"/>
    <x v="5"/>
    <n v="4505"/>
    <x v="1"/>
    <n v="3"/>
    <n v="80"/>
  </r>
  <r>
    <s v="P1289"/>
    <x v="5"/>
    <x v="2"/>
    <x v="3"/>
    <x v="1"/>
    <n v="87"/>
    <x v="2"/>
    <n v="5449"/>
    <x v="1"/>
    <n v="8"/>
    <n v="75"/>
  </r>
  <r>
    <s v="P1290"/>
    <x v="6"/>
    <x v="2"/>
    <x v="7"/>
    <x v="1"/>
    <n v="37"/>
    <x v="0"/>
    <n v="6850"/>
    <x v="1"/>
    <n v="3"/>
    <n v="72"/>
  </r>
  <r>
    <s v="P1291"/>
    <x v="4"/>
    <x v="2"/>
    <x v="6"/>
    <x v="1"/>
    <n v="69"/>
    <x v="2"/>
    <n v="3221"/>
    <x v="1"/>
    <n v="10"/>
    <n v="94"/>
  </r>
  <r>
    <s v="P1292"/>
    <x v="5"/>
    <x v="3"/>
    <x v="5"/>
    <x v="0"/>
    <n v="76"/>
    <x v="2"/>
    <n v="2460"/>
    <x v="1"/>
    <n v="2"/>
    <n v="53"/>
  </r>
  <r>
    <s v="P1293"/>
    <x v="0"/>
    <x v="3"/>
    <x v="9"/>
    <x v="1"/>
    <n v="53"/>
    <x v="4"/>
    <n v="3205"/>
    <x v="1"/>
    <n v="4"/>
    <n v="56"/>
  </r>
  <r>
    <s v="P1294"/>
    <x v="0"/>
    <x v="3"/>
    <x v="0"/>
    <x v="0"/>
    <n v="21"/>
    <x v="5"/>
    <n v="3833"/>
    <x v="1"/>
    <n v="4"/>
    <n v="80"/>
  </r>
  <r>
    <s v="P1295"/>
    <x v="0"/>
    <x v="3"/>
    <x v="3"/>
    <x v="1"/>
    <n v="83"/>
    <x v="2"/>
    <n v="984"/>
    <x v="1"/>
    <n v="1"/>
    <n v="91"/>
  </r>
  <r>
    <s v="P1296"/>
    <x v="2"/>
    <x v="3"/>
    <x v="2"/>
    <x v="0"/>
    <n v="5"/>
    <x v="1"/>
    <n v="1934"/>
    <x v="1"/>
    <n v="4"/>
    <n v="61"/>
  </r>
  <r>
    <s v="P1297"/>
    <x v="1"/>
    <x v="1"/>
    <x v="6"/>
    <x v="1"/>
    <n v="38"/>
    <x v="0"/>
    <n v="1995"/>
    <x v="1"/>
    <n v="1"/>
    <n v="50"/>
  </r>
  <r>
    <s v="P1298"/>
    <x v="5"/>
    <x v="0"/>
    <x v="4"/>
    <x v="1"/>
    <n v="83"/>
    <x v="2"/>
    <n v="13901"/>
    <x v="0"/>
    <n v="13"/>
    <n v="81"/>
  </r>
  <r>
    <s v="P1299"/>
    <x v="3"/>
    <x v="1"/>
    <x v="3"/>
    <x v="1"/>
    <n v="15"/>
    <x v="6"/>
    <n v="877"/>
    <x v="1"/>
    <n v="1"/>
    <n v="96"/>
  </r>
  <r>
    <s v="P1300"/>
    <x v="4"/>
    <x v="2"/>
    <x v="7"/>
    <x v="1"/>
    <n v="44"/>
    <x v="0"/>
    <n v="3416"/>
    <x v="1"/>
    <n v="5"/>
    <n v="61"/>
  </r>
  <r>
    <s v="P1301"/>
    <x v="2"/>
    <x v="1"/>
    <x v="8"/>
    <x v="0"/>
    <n v="12"/>
    <x v="3"/>
    <n v="1020"/>
    <x v="1"/>
    <n v="3"/>
    <n v="56"/>
  </r>
  <r>
    <s v="P1302"/>
    <x v="3"/>
    <x v="3"/>
    <x v="6"/>
    <x v="1"/>
    <n v="32"/>
    <x v="0"/>
    <n v="555"/>
    <x v="1"/>
    <n v="3"/>
    <n v="74"/>
  </r>
  <r>
    <s v="P1303"/>
    <x v="3"/>
    <x v="1"/>
    <x v="3"/>
    <x v="0"/>
    <n v="39"/>
    <x v="0"/>
    <n v="1392"/>
    <x v="1"/>
    <n v="3"/>
    <n v="86"/>
  </r>
  <r>
    <s v="P1304"/>
    <x v="1"/>
    <x v="2"/>
    <x v="4"/>
    <x v="0"/>
    <n v="8"/>
    <x v="3"/>
    <n v="6470"/>
    <x v="1"/>
    <n v="3"/>
    <n v="79"/>
  </r>
  <r>
    <s v="P1305"/>
    <x v="5"/>
    <x v="3"/>
    <x v="8"/>
    <x v="0"/>
    <n v="40"/>
    <x v="0"/>
    <n v="1461"/>
    <x v="1"/>
    <n v="3"/>
    <n v="73"/>
  </r>
  <r>
    <s v="P1306"/>
    <x v="2"/>
    <x v="3"/>
    <x v="9"/>
    <x v="0"/>
    <n v="62"/>
    <x v="2"/>
    <n v="1754"/>
    <x v="1"/>
    <n v="4"/>
    <n v="97"/>
  </r>
  <r>
    <s v="P1307"/>
    <x v="2"/>
    <x v="2"/>
    <x v="8"/>
    <x v="0"/>
    <n v="61"/>
    <x v="2"/>
    <n v="5403"/>
    <x v="1"/>
    <n v="5"/>
    <n v="98"/>
  </r>
  <r>
    <s v="P1308"/>
    <x v="3"/>
    <x v="0"/>
    <x v="2"/>
    <x v="1"/>
    <n v="47"/>
    <x v="4"/>
    <n v="6279"/>
    <x v="1"/>
    <n v="14"/>
    <n v="57"/>
  </r>
  <r>
    <s v="P1309"/>
    <x v="1"/>
    <x v="3"/>
    <x v="1"/>
    <x v="0"/>
    <n v="22"/>
    <x v="5"/>
    <n v="3187"/>
    <x v="1"/>
    <n v="5"/>
    <n v="78"/>
  </r>
  <r>
    <s v="P1310"/>
    <x v="1"/>
    <x v="3"/>
    <x v="1"/>
    <x v="1"/>
    <n v="66"/>
    <x v="2"/>
    <n v="4149"/>
    <x v="1"/>
    <n v="1"/>
    <n v="79"/>
  </r>
  <r>
    <s v="P1311"/>
    <x v="3"/>
    <x v="1"/>
    <x v="6"/>
    <x v="0"/>
    <n v="72"/>
    <x v="2"/>
    <n v="1146"/>
    <x v="1"/>
    <n v="3"/>
    <n v="69"/>
  </r>
  <r>
    <s v="P1312"/>
    <x v="0"/>
    <x v="0"/>
    <x v="8"/>
    <x v="1"/>
    <n v="1"/>
    <x v="1"/>
    <n v="17219"/>
    <x v="0"/>
    <n v="8"/>
    <n v="87"/>
  </r>
  <r>
    <s v="P1313"/>
    <x v="1"/>
    <x v="0"/>
    <x v="8"/>
    <x v="1"/>
    <n v="9"/>
    <x v="3"/>
    <n v="13866"/>
    <x v="0"/>
    <n v="5"/>
    <n v="54"/>
  </r>
  <r>
    <s v="P1314"/>
    <x v="4"/>
    <x v="0"/>
    <x v="3"/>
    <x v="1"/>
    <n v="18"/>
    <x v="6"/>
    <n v="17547"/>
    <x v="0"/>
    <n v="15"/>
    <n v="96"/>
  </r>
  <r>
    <s v="P1315"/>
    <x v="0"/>
    <x v="1"/>
    <x v="4"/>
    <x v="2"/>
    <n v="49"/>
    <x v="4"/>
    <n v="1118"/>
    <x v="1"/>
    <n v="2"/>
    <n v="74"/>
  </r>
  <r>
    <s v="P1316"/>
    <x v="1"/>
    <x v="3"/>
    <x v="4"/>
    <x v="1"/>
    <n v="69"/>
    <x v="2"/>
    <n v="3719"/>
    <x v="1"/>
    <n v="5"/>
    <n v="58"/>
  </r>
  <r>
    <s v="P1317"/>
    <x v="0"/>
    <x v="3"/>
    <x v="0"/>
    <x v="0"/>
    <n v="39"/>
    <x v="0"/>
    <n v="4292"/>
    <x v="1"/>
    <n v="5"/>
    <n v="77"/>
  </r>
  <r>
    <s v="P1318"/>
    <x v="2"/>
    <x v="1"/>
    <x v="9"/>
    <x v="1"/>
    <n v="45"/>
    <x v="4"/>
    <n v="517"/>
    <x v="1"/>
    <n v="2"/>
    <n v="62"/>
  </r>
  <r>
    <s v="P1319"/>
    <x v="0"/>
    <x v="0"/>
    <x v="0"/>
    <x v="0"/>
    <n v="54"/>
    <x v="4"/>
    <n v="15074"/>
    <x v="0"/>
    <n v="5"/>
    <n v="65"/>
  </r>
  <r>
    <s v="P1320"/>
    <x v="3"/>
    <x v="0"/>
    <x v="5"/>
    <x v="0"/>
    <n v="58"/>
    <x v="4"/>
    <n v="14794"/>
    <x v="0"/>
    <n v="15"/>
    <n v="95"/>
  </r>
  <r>
    <s v="P1321"/>
    <x v="6"/>
    <x v="0"/>
    <x v="9"/>
    <x v="0"/>
    <n v="52"/>
    <x v="4"/>
    <n v="12191"/>
    <x v="0"/>
    <n v="8"/>
    <n v="84"/>
  </r>
  <r>
    <s v="P1322"/>
    <x v="3"/>
    <x v="0"/>
    <x v="7"/>
    <x v="0"/>
    <n v="38"/>
    <x v="0"/>
    <n v="8836"/>
    <x v="0"/>
    <n v="14"/>
    <n v="70"/>
  </r>
  <r>
    <s v="P1323"/>
    <x v="2"/>
    <x v="2"/>
    <x v="9"/>
    <x v="1"/>
    <n v="19"/>
    <x v="6"/>
    <n v="6408"/>
    <x v="1"/>
    <n v="10"/>
    <n v="64"/>
  </r>
  <r>
    <s v="P1324"/>
    <x v="4"/>
    <x v="2"/>
    <x v="3"/>
    <x v="1"/>
    <n v="76"/>
    <x v="2"/>
    <n v="2434"/>
    <x v="1"/>
    <n v="8"/>
    <n v="85"/>
  </r>
  <r>
    <s v="P1325"/>
    <x v="4"/>
    <x v="0"/>
    <x v="4"/>
    <x v="0"/>
    <n v="86"/>
    <x v="2"/>
    <n v="11244"/>
    <x v="0"/>
    <n v="13"/>
    <n v="70"/>
  </r>
  <r>
    <s v="P1326"/>
    <x v="0"/>
    <x v="1"/>
    <x v="8"/>
    <x v="1"/>
    <n v="49"/>
    <x v="4"/>
    <n v="576"/>
    <x v="1"/>
    <n v="3"/>
    <n v="80"/>
  </r>
  <r>
    <s v="P1327"/>
    <x v="3"/>
    <x v="3"/>
    <x v="3"/>
    <x v="0"/>
    <n v="19"/>
    <x v="6"/>
    <n v="4293"/>
    <x v="1"/>
    <n v="1"/>
    <n v="85"/>
  </r>
  <r>
    <s v="P1328"/>
    <x v="4"/>
    <x v="1"/>
    <x v="2"/>
    <x v="0"/>
    <n v="50"/>
    <x v="4"/>
    <n v="697"/>
    <x v="1"/>
    <n v="2"/>
    <n v="63"/>
  </r>
  <r>
    <s v="P1329"/>
    <x v="5"/>
    <x v="0"/>
    <x v="6"/>
    <x v="0"/>
    <n v="12"/>
    <x v="3"/>
    <n v="13775"/>
    <x v="0"/>
    <n v="8"/>
    <n v="53"/>
  </r>
  <r>
    <s v="P1330"/>
    <x v="5"/>
    <x v="1"/>
    <x v="1"/>
    <x v="0"/>
    <n v="10"/>
    <x v="3"/>
    <n v="585"/>
    <x v="1"/>
    <n v="3"/>
    <n v="96"/>
  </r>
  <r>
    <s v="P1331"/>
    <x v="0"/>
    <x v="3"/>
    <x v="6"/>
    <x v="1"/>
    <n v="43"/>
    <x v="0"/>
    <n v="2983"/>
    <x v="1"/>
    <n v="1"/>
    <n v="63"/>
  </r>
  <r>
    <s v="P1332"/>
    <x v="3"/>
    <x v="0"/>
    <x v="6"/>
    <x v="0"/>
    <n v="90"/>
    <x v="2"/>
    <n v="14902"/>
    <x v="0"/>
    <n v="8"/>
    <n v="75"/>
  </r>
  <r>
    <s v="P1333"/>
    <x v="3"/>
    <x v="2"/>
    <x v="3"/>
    <x v="1"/>
    <n v="69"/>
    <x v="2"/>
    <n v="6314"/>
    <x v="1"/>
    <n v="7"/>
    <n v="69"/>
  </r>
  <r>
    <s v="P1334"/>
    <x v="5"/>
    <x v="2"/>
    <x v="2"/>
    <x v="0"/>
    <n v="60"/>
    <x v="4"/>
    <n v="1807"/>
    <x v="1"/>
    <n v="9"/>
    <n v="98"/>
  </r>
  <r>
    <s v="P1335"/>
    <x v="6"/>
    <x v="2"/>
    <x v="9"/>
    <x v="1"/>
    <n v="53"/>
    <x v="4"/>
    <n v="1374"/>
    <x v="1"/>
    <n v="5"/>
    <n v="97"/>
  </r>
  <r>
    <s v="P1336"/>
    <x v="3"/>
    <x v="0"/>
    <x v="3"/>
    <x v="0"/>
    <n v="75"/>
    <x v="2"/>
    <n v="14488"/>
    <x v="0"/>
    <n v="11"/>
    <n v="68"/>
  </r>
  <r>
    <s v="P1337"/>
    <x v="3"/>
    <x v="3"/>
    <x v="4"/>
    <x v="1"/>
    <n v="73"/>
    <x v="2"/>
    <n v="2513"/>
    <x v="1"/>
    <n v="4"/>
    <n v="85"/>
  </r>
  <r>
    <s v="P1338"/>
    <x v="0"/>
    <x v="2"/>
    <x v="3"/>
    <x v="0"/>
    <n v="63"/>
    <x v="2"/>
    <n v="6927"/>
    <x v="1"/>
    <n v="9"/>
    <n v="79"/>
  </r>
  <r>
    <s v="P1339"/>
    <x v="3"/>
    <x v="2"/>
    <x v="7"/>
    <x v="1"/>
    <n v="70"/>
    <x v="2"/>
    <n v="5000"/>
    <x v="1"/>
    <n v="4"/>
    <n v="84"/>
  </r>
  <r>
    <s v="P1340"/>
    <x v="0"/>
    <x v="0"/>
    <x v="2"/>
    <x v="1"/>
    <n v="10"/>
    <x v="3"/>
    <n v="18402"/>
    <x v="0"/>
    <n v="15"/>
    <n v="53"/>
  </r>
  <r>
    <s v="P1341"/>
    <x v="6"/>
    <x v="0"/>
    <x v="8"/>
    <x v="1"/>
    <n v="81"/>
    <x v="2"/>
    <n v="8791"/>
    <x v="0"/>
    <n v="6"/>
    <n v="95"/>
  </r>
  <r>
    <s v="P1342"/>
    <x v="3"/>
    <x v="0"/>
    <x v="9"/>
    <x v="0"/>
    <n v="48"/>
    <x v="4"/>
    <n v="5990"/>
    <x v="1"/>
    <n v="14"/>
    <n v="90"/>
  </r>
  <r>
    <s v="P1343"/>
    <x v="0"/>
    <x v="1"/>
    <x v="6"/>
    <x v="1"/>
    <n v="69"/>
    <x v="2"/>
    <n v="1329"/>
    <x v="1"/>
    <n v="2"/>
    <n v="50"/>
  </r>
  <r>
    <s v="P1344"/>
    <x v="1"/>
    <x v="2"/>
    <x v="2"/>
    <x v="0"/>
    <n v="3"/>
    <x v="1"/>
    <n v="5114"/>
    <x v="1"/>
    <n v="8"/>
    <n v="61"/>
  </r>
  <r>
    <s v="P1345"/>
    <x v="1"/>
    <x v="0"/>
    <x v="2"/>
    <x v="1"/>
    <n v="25"/>
    <x v="5"/>
    <n v="15154"/>
    <x v="0"/>
    <n v="13"/>
    <n v="66"/>
  </r>
  <r>
    <s v="P1346"/>
    <x v="6"/>
    <x v="2"/>
    <x v="3"/>
    <x v="0"/>
    <n v="11"/>
    <x v="3"/>
    <n v="4056"/>
    <x v="1"/>
    <n v="8"/>
    <n v="79"/>
  </r>
  <r>
    <s v="P1347"/>
    <x v="2"/>
    <x v="3"/>
    <x v="9"/>
    <x v="1"/>
    <n v="11"/>
    <x v="3"/>
    <n v="759"/>
    <x v="1"/>
    <n v="1"/>
    <n v="75"/>
  </r>
  <r>
    <s v="P1348"/>
    <x v="4"/>
    <x v="1"/>
    <x v="2"/>
    <x v="1"/>
    <n v="82"/>
    <x v="2"/>
    <n v="219"/>
    <x v="1"/>
    <n v="3"/>
    <n v="60"/>
  </r>
  <r>
    <s v="P1349"/>
    <x v="1"/>
    <x v="1"/>
    <x v="8"/>
    <x v="0"/>
    <n v="43"/>
    <x v="0"/>
    <n v="1358"/>
    <x v="1"/>
    <n v="1"/>
    <n v="83"/>
  </r>
  <r>
    <s v="P1350"/>
    <x v="1"/>
    <x v="3"/>
    <x v="9"/>
    <x v="0"/>
    <n v="89"/>
    <x v="2"/>
    <n v="4395"/>
    <x v="1"/>
    <n v="3"/>
    <n v="52"/>
  </r>
  <r>
    <s v="P1351"/>
    <x v="1"/>
    <x v="2"/>
    <x v="2"/>
    <x v="0"/>
    <n v="5"/>
    <x v="1"/>
    <n v="2469"/>
    <x v="1"/>
    <n v="7"/>
    <n v="51"/>
  </r>
  <r>
    <s v="P1352"/>
    <x v="3"/>
    <x v="3"/>
    <x v="8"/>
    <x v="0"/>
    <n v="39"/>
    <x v="0"/>
    <n v="1830"/>
    <x v="1"/>
    <n v="5"/>
    <n v="65"/>
  </r>
  <r>
    <s v="P1353"/>
    <x v="2"/>
    <x v="1"/>
    <x v="2"/>
    <x v="1"/>
    <n v="18"/>
    <x v="6"/>
    <n v="1818"/>
    <x v="1"/>
    <n v="3"/>
    <n v="96"/>
  </r>
  <r>
    <s v="P1354"/>
    <x v="1"/>
    <x v="2"/>
    <x v="0"/>
    <x v="1"/>
    <n v="30"/>
    <x v="0"/>
    <n v="1622"/>
    <x v="1"/>
    <n v="7"/>
    <n v="88"/>
  </r>
  <r>
    <s v="P1355"/>
    <x v="6"/>
    <x v="1"/>
    <x v="4"/>
    <x v="1"/>
    <n v="35"/>
    <x v="0"/>
    <n v="1804"/>
    <x v="1"/>
    <n v="2"/>
    <n v="81"/>
  </r>
  <r>
    <s v="P1356"/>
    <x v="3"/>
    <x v="2"/>
    <x v="2"/>
    <x v="0"/>
    <n v="56"/>
    <x v="4"/>
    <n v="2521"/>
    <x v="1"/>
    <n v="8"/>
    <n v="55"/>
  </r>
  <r>
    <s v="P1357"/>
    <x v="6"/>
    <x v="2"/>
    <x v="9"/>
    <x v="0"/>
    <n v="11"/>
    <x v="3"/>
    <n v="3195"/>
    <x v="1"/>
    <n v="4"/>
    <n v="74"/>
  </r>
  <r>
    <s v="P1358"/>
    <x v="0"/>
    <x v="3"/>
    <x v="8"/>
    <x v="1"/>
    <n v="14"/>
    <x v="6"/>
    <n v="1249"/>
    <x v="1"/>
    <n v="1"/>
    <n v="69"/>
  </r>
  <r>
    <s v="P1359"/>
    <x v="4"/>
    <x v="2"/>
    <x v="3"/>
    <x v="1"/>
    <n v="12"/>
    <x v="3"/>
    <n v="2535"/>
    <x v="1"/>
    <n v="8"/>
    <n v="78"/>
  </r>
  <r>
    <s v="P1360"/>
    <x v="2"/>
    <x v="1"/>
    <x v="5"/>
    <x v="1"/>
    <n v="46"/>
    <x v="4"/>
    <n v="1335"/>
    <x v="1"/>
    <n v="1"/>
    <n v="88"/>
  </r>
  <r>
    <s v="P1361"/>
    <x v="2"/>
    <x v="2"/>
    <x v="8"/>
    <x v="1"/>
    <n v="53"/>
    <x v="4"/>
    <n v="4176"/>
    <x v="1"/>
    <n v="3"/>
    <n v="96"/>
  </r>
  <r>
    <s v="P1362"/>
    <x v="2"/>
    <x v="3"/>
    <x v="1"/>
    <x v="0"/>
    <n v="88"/>
    <x v="2"/>
    <n v="3618"/>
    <x v="1"/>
    <n v="2"/>
    <n v="58"/>
  </r>
  <r>
    <s v="P1363"/>
    <x v="5"/>
    <x v="2"/>
    <x v="3"/>
    <x v="0"/>
    <n v="9"/>
    <x v="3"/>
    <n v="2369"/>
    <x v="1"/>
    <n v="8"/>
    <n v="67"/>
  </r>
  <r>
    <s v="P1364"/>
    <x v="4"/>
    <x v="2"/>
    <x v="6"/>
    <x v="0"/>
    <n v="47"/>
    <x v="4"/>
    <n v="3061"/>
    <x v="1"/>
    <n v="5"/>
    <n v="96"/>
  </r>
  <r>
    <s v="P1365"/>
    <x v="0"/>
    <x v="1"/>
    <x v="1"/>
    <x v="0"/>
    <n v="59"/>
    <x v="4"/>
    <n v="419"/>
    <x v="1"/>
    <n v="1"/>
    <n v="69"/>
  </r>
  <r>
    <s v="P1366"/>
    <x v="1"/>
    <x v="1"/>
    <x v="4"/>
    <x v="0"/>
    <n v="49"/>
    <x v="4"/>
    <n v="1846"/>
    <x v="1"/>
    <n v="2"/>
    <n v="78"/>
  </r>
  <r>
    <s v="P1367"/>
    <x v="5"/>
    <x v="1"/>
    <x v="1"/>
    <x v="1"/>
    <n v="42"/>
    <x v="0"/>
    <n v="1435"/>
    <x v="1"/>
    <n v="3"/>
    <n v="62"/>
  </r>
  <r>
    <s v="P1368"/>
    <x v="4"/>
    <x v="2"/>
    <x v="7"/>
    <x v="0"/>
    <n v="41"/>
    <x v="0"/>
    <n v="3387"/>
    <x v="1"/>
    <n v="9"/>
    <n v="86"/>
  </r>
  <r>
    <s v="P1369"/>
    <x v="6"/>
    <x v="3"/>
    <x v="4"/>
    <x v="1"/>
    <n v="51"/>
    <x v="4"/>
    <n v="3490"/>
    <x v="1"/>
    <n v="1"/>
    <n v="86"/>
  </r>
  <r>
    <s v="P1370"/>
    <x v="3"/>
    <x v="3"/>
    <x v="2"/>
    <x v="1"/>
    <n v="60"/>
    <x v="4"/>
    <n v="2217"/>
    <x v="1"/>
    <n v="4"/>
    <n v="68"/>
  </r>
  <r>
    <s v="P1371"/>
    <x v="6"/>
    <x v="0"/>
    <x v="8"/>
    <x v="0"/>
    <n v="18"/>
    <x v="6"/>
    <n v="15376"/>
    <x v="0"/>
    <n v="9"/>
    <n v="65"/>
  </r>
  <r>
    <s v="P1372"/>
    <x v="5"/>
    <x v="3"/>
    <x v="8"/>
    <x v="0"/>
    <n v="10"/>
    <x v="3"/>
    <n v="4178"/>
    <x v="1"/>
    <n v="5"/>
    <n v="80"/>
  </r>
  <r>
    <s v="P1373"/>
    <x v="2"/>
    <x v="1"/>
    <x v="2"/>
    <x v="0"/>
    <n v="89"/>
    <x v="2"/>
    <n v="1056"/>
    <x v="1"/>
    <n v="3"/>
    <n v="52"/>
  </r>
  <r>
    <s v="P1374"/>
    <x v="6"/>
    <x v="2"/>
    <x v="2"/>
    <x v="0"/>
    <n v="11"/>
    <x v="3"/>
    <n v="1895"/>
    <x v="1"/>
    <n v="5"/>
    <n v="92"/>
  </r>
  <r>
    <s v="P1375"/>
    <x v="0"/>
    <x v="2"/>
    <x v="7"/>
    <x v="0"/>
    <n v="6"/>
    <x v="3"/>
    <n v="5613"/>
    <x v="1"/>
    <n v="8"/>
    <n v="98"/>
  </r>
  <r>
    <s v="P1376"/>
    <x v="5"/>
    <x v="1"/>
    <x v="5"/>
    <x v="1"/>
    <n v="34"/>
    <x v="0"/>
    <n v="654"/>
    <x v="1"/>
    <n v="3"/>
    <n v="97"/>
  </r>
  <r>
    <s v="P1377"/>
    <x v="2"/>
    <x v="3"/>
    <x v="6"/>
    <x v="1"/>
    <n v="60"/>
    <x v="4"/>
    <n v="4599"/>
    <x v="1"/>
    <n v="2"/>
    <n v="72"/>
  </r>
  <r>
    <s v="P1378"/>
    <x v="1"/>
    <x v="1"/>
    <x v="5"/>
    <x v="1"/>
    <n v="11"/>
    <x v="3"/>
    <n v="437"/>
    <x v="1"/>
    <n v="3"/>
    <n v="59"/>
  </r>
  <r>
    <s v="P1379"/>
    <x v="5"/>
    <x v="2"/>
    <x v="4"/>
    <x v="1"/>
    <n v="27"/>
    <x v="5"/>
    <n v="5268"/>
    <x v="1"/>
    <n v="9"/>
    <n v="72"/>
  </r>
  <r>
    <s v="P1380"/>
    <x v="4"/>
    <x v="0"/>
    <x v="6"/>
    <x v="0"/>
    <n v="58"/>
    <x v="4"/>
    <n v="10225"/>
    <x v="0"/>
    <n v="6"/>
    <n v="69"/>
  </r>
  <r>
    <s v="P1381"/>
    <x v="1"/>
    <x v="0"/>
    <x v="0"/>
    <x v="0"/>
    <n v="83"/>
    <x v="2"/>
    <n v="6791"/>
    <x v="1"/>
    <n v="15"/>
    <n v="60"/>
  </r>
  <r>
    <s v="P1382"/>
    <x v="0"/>
    <x v="3"/>
    <x v="2"/>
    <x v="1"/>
    <n v="21"/>
    <x v="5"/>
    <n v="3211"/>
    <x v="1"/>
    <n v="5"/>
    <n v="77"/>
  </r>
  <r>
    <s v="P1383"/>
    <x v="4"/>
    <x v="3"/>
    <x v="8"/>
    <x v="0"/>
    <n v="24"/>
    <x v="5"/>
    <n v="4040"/>
    <x v="1"/>
    <n v="4"/>
    <n v="51"/>
  </r>
  <r>
    <s v="P1384"/>
    <x v="0"/>
    <x v="3"/>
    <x v="6"/>
    <x v="0"/>
    <n v="50"/>
    <x v="4"/>
    <n v="536"/>
    <x v="1"/>
    <n v="2"/>
    <n v="63"/>
  </r>
  <r>
    <s v="P1385"/>
    <x v="5"/>
    <x v="0"/>
    <x v="1"/>
    <x v="1"/>
    <n v="69"/>
    <x v="2"/>
    <n v="8063"/>
    <x v="0"/>
    <n v="10"/>
    <n v="70"/>
  </r>
  <r>
    <s v="P1386"/>
    <x v="3"/>
    <x v="1"/>
    <x v="5"/>
    <x v="1"/>
    <n v="63"/>
    <x v="2"/>
    <n v="1280"/>
    <x v="1"/>
    <n v="3"/>
    <n v="70"/>
  </r>
  <r>
    <s v="P1387"/>
    <x v="2"/>
    <x v="1"/>
    <x v="1"/>
    <x v="1"/>
    <n v="15"/>
    <x v="6"/>
    <n v="912"/>
    <x v="1"/>
    <n v="2"/>
    <n v="79"/>
  </r>
  <r>
    <s v="P1388"/>
    <x v="2"/>
    <x v="3"/>
    <x v="3"/>
    <x v="0"/>
    <n v="76"/>
    <x v="2"/>
    <n v="1194"/>
    <x v="1"/>
    <n v="2"/>
    <n v="70"/>
  </r>
  <r>
    <s v="P1389"/>
    <x v="1"/>
    <x v="3"/>
    <x v="3"/>
    <x v="1"/>
    <n v="48"/>
    <x v="4"/>
    <n v="1658"/>
    <x v="1"/>
    <n v="5"/>
    <n v="74"/>
  </r>
  <r>
    <s v="P1390"/>
    <x v="4"/>
    <x v="3"/>
    <x v="1"/>
    <x v="1"/>
    <n v="24"/>
    <x v="5"/>
    <n v="4486"/>
    <x v="1"/>
    <n v="5"/>
    <n v="94"/>
  </r>
  <r>
    <s v="P1391"/>
    <x v="0"/>
    <x v="3"/>
    <x v="2"/>
    <x v="1"/>
    <n v="37"/>
    <x v="0"/>
    <n v="1649"/>
    <x v="1"/>
    <n v="2"/>
    <n v="70"/>
  </r>
  <r>
    <s v="P1392"/>
    <x v="6"/>
    <x v="1"/>
    <x v="1"/>
    <x v="1"/>
    <n v="46"/>
    <x v="4"/>
    <n v="219"/>
    <x v="1"/>
    <n v="2"/>
    <n v="58"/>
  </r>
  <r>
    <s v="P1393"/>
    <x v="3"/>
    <x v="1"/>
    <x v="2"/>
    <x v="0"/>
    <n v="64"/>
    <x v="2"/>
    <n v="1037"/>
    <x v="1"/>
    <n v="3"/>
    <n v="81"/>
  </r>
  <r>
    <s v="P1394"/>
    <x v="4"/>
    <x v="1"/>
    <x v="6"/>
    <x v="1"/>
    <n v="73"/>
    <x v="2"/>
    <n v="263"/>
    <x v="1"/>
    <n v="1"/>
    <n v="68"/>
  </r>
  <r>
    <s v="P1395"/>
    <x v="1"/>
    <x v="2"/>
    <x v="9"/>
    <x v="0"/>
    <n v="22"/>
    <x v="5"/>
    <n v="4746"/>
    <x v="1"/>
    <n v="9"/>
    <n v="85"/>
  </r>
  <r>
    <s v="P1396"/>
    <x v="2"/>
    <x v="0"/>
    <x v="1"/>
    <x v="1"/>
    <n v="70"/>
    <x v="2"/>
    <n v="18488"/>
    <x v="0"/>
    <n v="10"/>
    <n v="84"/>
  </r>
  <r>
    <s v="P1397"/>
    <x v="6"/>
    <x v="0"/>
    <x v="6"/>
    <x v="0"/>
    <n v="55"/>
    <x v="4"/>
    <n v="6677"/>
    <x v="1"/>
    <n v="15"/>
    <n v="98"/>
  </r>
  <r>
    <s v="P1398"/>
    <x v="3"/>
    <x v="2"/>
    <x v="0"/>
    <x v="1"/>
    <n v="45"/>
    <x v="4"/>
    <n v="1712"/>
    <x v="1"/>
    <n v="9"/>
    <n v="57"/>
  </r>
  <r>
    <s v="P1399"/>
    <x v="6"/>
    <x v="3"/>
    <x v="9"/>
    <x v="0"/>
    <n v="76"/>
    <x v="2"/>
    <n v="3372"/>
    <x v="1"/>
    <n v="5"/>
    <n v="90"/>
  </r>
  <r>
    <s v="P1400"/>
    <x v="4"/>
    <x v="3"/>
    <x v="1"/>
    <x v="1"/>
    <n v="27"/>
    <x v="5"/>
    <n v="2195"/>
    <x v="1"/>
    <n v="1"/>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041B8-5179-427E-8F98-EB578DFED331}" name="Patient coun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showAll="0"/>
    <pivotField showAll="0"/>
  </pivotFields>
  <rowItems count="1">
    <i/>
  </rowItems>
  <colItems count="1">
    <i/>
  </colItems>
  <dataFields count="1">
    <dataField name="Patient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1763A-3B29-43C8-9460-F0AA54A6FBAA}" name="Cost_Catego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st Type">
  <location ref="B68:C71" firstHeaderRow="1" firstDataRow="1" firstDataCol="1"/>
  <pivotFields count="11">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axis="axisRow" showAll="0">
      <items count="3">
        <item x="0"/>
        <item x="1"/>
        <item t="default"/>
      </items>
    </pivotField>
    <pivotField showAll="0"/>
    <pivotField showAll="0"/>
  </pivotFields>
  <rowFields count="1">
    <field x="8"/>
  </rowFields>
  <rowItems count="3">
    <i>
      <x/>
    </i>
    <i>
      <x v="1"/>
    </i>
    <i t="grand">
      <x/>
    </i>
  </rowItems>
  <colItems count="1">
    <i/>
  </colItems>
  <dataFields count="1">
    <dataField name="No of Patient" fld="0" subtotal="count" baseField="0" baseItem="0"/>
  </dataFields>
  <formats count="1">
    <format dxfId="0">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39480-D94B-4CA5-9CEF-D25CFE2AB7EF}" name="Doctor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octors">
  <location ref="B22:C33" firstHeaderRow="1" firstDataRow="1" firstDataCol="1"/>
  <pivotFields count="11">
    <pivotField showAll="0"/>
    <pivotField showAll="0">
      <items count="8">
        <item x="1"/>
        <item x="0"/>
        <item x="6"/>
        <item x="5"/>
        <item x="2"/>
        <item x="3"/>
        <item x="4"/>
        <item t="default"/>
      </items>
    </pivotField>
    <pivotField showAll="0">
      <items count="5">
        <item x="3"/>
        <item x="1"/>
        <item x="0"/>
        <item x="2"/>
        <item t="default"/>
      </items>
    </pivotField>
    <pivotField axis="axisRow" showAll="0" sortType="ascending">
      <items count="11">
        <item x="9"/>
        <item x="6"/>
        <item x="4"/>
        <item x="5"/>
        <item x="3"/>
        <item x="1"/>
        <item x="8"/>
        <item x="2"/>
        <item x="0"/>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dataField="1" showAll="0"/>
  </pivotFields>
  <rowFields count="1">
    <field x="3"/>
  </rowFields>
  <rowItems count="11">
    <i>
      <x v="8"/>
    </i>
    <i>
      <x v="7"/>
    </i>
    <i>
      <x v="5"/>
    </i>
    <i>
      <x v="1"/>
    </i>
    <i>
      <x/>
    </i>
    <i>
      <x v="9"/>
    </i>
    <i>
      <x v="2"/>
    </i>
    <i>
      <x v="4"/>
    </i>
    <i>
      <x v="6"/>
    </i>
    <i>
      <x v="3"/>
    </i>
    <i t="grand">
      <x/>
    </i>
  </rowItems>
  <colItems count="1">
    <i/>
  </colItems>
  <dataFields count="1">
    <dataField name="Average of Recovery Score" fld="10" subtotal="average" baseField="0" baseItem="2" numFmtId="2"/>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90054C-6B2B-450E-96CB-CCF426D87E41}" name="Gender"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B37:C41" firstHeaderRow="1" firstDataRow="1" firstDataCol="1"/>
  <pivotFields count="11">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4">
    <i>
      <x v="1"/>
    </i>
    <i>
      <x/>
    </i>
    <i>
      <x v="2"/>
    </i>
    <i t="grand">
      <x/>
    </i>
  </rowItems>
  <colItems count="1">
    <i/>
  </colItems>
  <dataFields count="1">
    <dataField name="No of Patient" fld="0" subtotal="count" baseField="0" baseItem="0" numFmtId="1"/>
  </dataFields>
  <formats count="1">
    <format dxfId="2">
      <pivotArea outline="0" collapsedLevelsAreSubtotals="1" fieldPosition="0"/>
    </format>
  </format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1"/>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1"/>
          </reference>
        </references>
      </pivotArea>
    </chartFormat>
    <chartFormat chart="5" format="18">
      <pivotArea type="data" outline="0" fieldPosition="0">
        <references count="2">
          <reference field="4294967294" count="1" selected="0">
            <x v="0"/>
          </reference>
          <reference field="4" count="1" selected="0">
            <x v="0"/>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21C3B8-0711-49CE-8D81-E9A6858AA05D}" name="AVG Ag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1">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dataField="1" showAll="0"/>
    <pivotField showAll="0"/>
    <pivotField showAll="0"/>
    <pivotField showAll="0"/>
    <pivotField showAll="0"/>
    <pivotField showAll="0"/>
  </pivotFields>
  <rowItems count="1">
    <i/>
  </rowItems>
  <colItems count="1">
    <i/>
  </colItems>
  <dataFields count="1">
    <dataField name="Average Age" fld="5"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6F9FA2-EACC-455A-9B1D-25FFAC8776EC}" name="Age_group"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B55:C63" firstHeaderRow="1" firstDataRow="1" firstDataCol="1"/>
  <pivotFields count="11">
    <pivotField showAll="0"/>
    <pivotField showAll="0">
      <items count="8">
        <item x="1"/>
        <item x="0"/>
        <item x="6"/>
        <item x="5"/>
        <item x="2"/>
        <item x="3"/>
        <item x="4"/>
        <item t="default"/>
      </items>
    </pivotField>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11">
        <item x="9"/>
        <item x="6"/>
        <item x="4"/>
        <item x="5"/>
        <item x="3"/>
        <item x="1"/>
        <item x="8"/>
        <item x="2"/>
        <item x="0"/>
        <item x="7"/>
        <item t="default"/>
      </items>
    </pivotField>
    <pivotField showAll="0">
      <items count="4">
        <item x="0"/>
        <item x="1"/>
        <item x="2"/>
        <item t="default"/>
      </items>
    </pivotField>
    <pivotField showAll="0"/>
    <pivotField axis="axisRow" showAll="0">
      <items count="8">
        <item x="0"/>
        <item x="3"/>
        <item x="2"/>
        <item x="1"/>
        <item x="4"/>
        <item x="6"/>
        <item x="5"/>
        <item t="default"/>
      </items>
    </pivotField>
    <pivotField showAll="0"/>
    <pivotField showAll="0"/>
    <pivotField showAll="0"/>
    <pivotField dataField="1" showAll="0"/>
  </pivotFields>
  <rowFields count="1">
    <field x="6"/>
  </rowFields>
  <rowItems count="8">
    <i>
      <x/>
    </i>
    <i>
      <x v="1"/>
    </i>
    <i>
      <x v="2"/>
    </i>
    <i>
      <x v="3"/>
    </i>
    <i>
      <x v="4"/>
    </i>
    <i>
      <x v="5"/>
    </i>
    <i>
      <x v="6"/>
    </i>
    <i t="grand">
      <x/>
    </i>
  </rowItems>
  <colItems count="1">
    <i/>
  </colItems>
  <dataFields count="1">
    <dataField name="Average of Recovery Score" fld="10" subtotal="average" baseField="2"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38C24D-C053-458D-8292-081B18049BD9}" name="Treatment_typ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etment type">
  <location ref="B45:C50" firstHeaderRow="1" firstDataRow="1" firstDataCol="1"/>
  <pivotFields count="11">
    <pivotField showAll="0"/>
    <pivotField showAll="0">
      <items count="8">
        <item x="1"/>
        <item x="0"/>
        <item x="6"/>
        <item x="5"/>
        <item x="2"/>
        <item x="3"/>
        <item x="4"/>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showAll="0"/>
    <pivotField dataField="1" showAll="0"/>
  </pivotFields>
  <rowFields count="1">
    <field x="2"/>
  </rowFields>
  <rowItems count="5">
    <i>
      <x v="2"/>
    </i>
    <i>
      <x v="3"/>
    </i>
    <i>
      <x/>
    </i>
    <i>
      <x v="1"/>
    </i>
    <i t="grand">
      <x/>
    </i>
  </rowItems>
  <colItems count="1">
    <i/>
  </colItems>
  <dataFields count="1">
    <dataField name="Average of Recovery Score" fld="10" subtotal="average" baseField="2"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14FB85-AF88-4FC9-915D-E85D4D1E44B0}" name="AVG_R Scor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1">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showAll="0"/>
    <pivotField dataField="1" showAll="0"/>
  </pivotFields>
  <rowItems count="1">
    <i/>
  </rowItems>
  <colItems count="1">
    <i/>
  </colItems>
  <dataFields count="1">
    <dataField name="Average of Recovery Score" fld="10"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E6803-AEE9-4432-BC30-0669C9E1A338}" name="Department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B10:C18" firstHeaderRow="1" firstDataRow="1" firstDataCol="1"/>
  <pivotFields count="11">
    <pivotField showAll="0"/>
    <pivotField axis="axisRow" showAll="0" sortType="de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showAll="0"/>
    <pivotField dataField="1" showAll="0"/>
  </pivotFields>
  <rowFields count="1">
    <field x="1"/>
  </rowFields>
  <rowItems count="8">
    <i>
      <x v="1"/>
    </i>
    <i>
      <x v="2"/>
    </i>
    <i>
      <x v="5"/>
    </i>
    <i>
      <x v="6"/>
    </i>
    <i>
      <x v="4"/>
    </i>
    <i>
      <x v="3"/>
    </i>
    <i>
      <x/>
    </i>
    <i t="grand">
      <x/>
    </i>
  </rowItems>
  <colItems count="1">
    <i/>
  </colItems>
  <dataFields count="1">
    <dataField name="Average of Recovery Score" fld="10" subtotal="average" baseField="0" baseItem="2" numFmtId="2"/>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A1E55D-C1D7-4F09-95E1-46BAEE385AFA}" name="AVG_TREATMENT_COS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1">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Average of Treatment Cost" fld="7"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B79CDC-045E-4B92-A08E-092868AA8E73}" sourceName="Department">
  <pivotTables>
    <pivotTable tabId="2" name="Departments"/>
    <pivotTable tabId="2" name="Age_group"/>
    <pivotTable tabId="2" name="Cost_Category"/>
    <pivotTable tabId="2" name="Doctors"/>
    <pivotTable tabId="2" name="Gender"/>
    <pivotTable tabId="2" name="Patient count"/>
    <pivotTable tabId="2" name="Treatment_type"/>
    <pivotTable tabId="2" name="AVG_TREATMENT_COST"/>
    <pivotTable tabId="2" name="AVG Age"/>
    <pivotTable tabId="2" name="AVG_R Score"/>
  </pivotTables>
  <data>
    <tabular pivotCacheId="216528162">
      <items count="7">
        <i x="1" s="1"/>
        <i x="0" s="1"/>
        <i x="6" s="1"/>
        <i x="5"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E7965AEE-998A-473F-8131-C518483AB53C}" sourceName="Doctor Name">
  <pivotTables>
    <pivotTable tabId="2" name="Departments"/>
    <pivotTable tabId="2" name="Age_group"/>
    <pivotTable tabId="2" name="Cost_Category"/>
    <pivotTable tabId="2" name="Doctors"/>
    <pivotTable tabId="2" name="Gender"/>
    <pivotTable tabId="2" name="Patient count"/>
    <pivotTable tabId="2" name="Treatment_type"/>
    <pivotTable tabId="2" name="AVG_TREATMENT_COST"/>
    <pivotTable tabId="2" name="AVG Age"/>
    <pivotTable tabId="2" name="AVG_R Score"/>
  </pivotTables>
  <data>
    <tabular pivotCacheId="216528162">
      <items count="10">
        <i x="9" s="1"/>
        <i x="6" s="1"/>
        <i x="4" s="1"/>
        <i x="5" s="1"/>
        <i x="3" s="1"/>
        <i x="1" s="1"/>
        <i x="8" s="1"/>
        <i x="2"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187463F2-1A8C-47F5-AABE-D305173E3990}" sourceName="Treatment Type">
  <pivotTables>
    <pivotTable tabId="2" name="Departments"/>
    <pivotTable tabId="2" name="Age_group"/>
    <pivotTable tabId="2" name="Cost_Category"/>
    <pivotTable tabId="2" name="Doctors"/>
    <pivotTable tabId="2" name="Gender"/>
    <pivotTable tabId="2" name="Patient count"/>
    <pivotTable tabId="2" name="Treatment_type"/>
    <pivotTable tabId="2" name="AVG_TREATMENT_COST"/>
    <pivotTable tabId="2" name="AVG Age"/>
    <pivotTable tabId="2" name="AVG_R Score"/>
  </pivotTables>
  <data>
    <tabular pivotCacheId="216528162">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D21A4D-D230-46CB-B779-9284E8C8A7D5}" sourceName="Gender">
  <pivotTables>
    <pivotTable tabId="2" name="Departments"/>
    <pivotTable tabId="2" name="Age_group"/>
    <pivotTable tabId="2" name="Cost_Category"/>
    <pivotTable tabId="2" name="Doctors"/>
    <pivotTable tabId="2" name="Gender"/>
    <pivotTable tabId="2" name="Patient count"/>
    <pivotTable tabId="2" name="Treatment_type"/>
    <pivotTable tabId="2" name="AVG_TREATMENT_COST"/>
    <pivotTable tabId="2" name="AVG Age"/>
    <pivotTable tabId="2" name="AVG_R Score"/>
  </pivotTables>
  <data>
    <tabular pivotCacheId="2165281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35E9175-A1F6-4A18-AE24-D4208B617067}" cache="Slicer_Department" caption="Department" columnCount="2" rowHeight="241300"/>
  <slicer name="Doctor Name" xr10:uid="{9C85155C-606E-495A-A90E-4E85750C2DE0}" cache="Slicer_Doctor_Name" caption="Doctor Name" columnCount="2" rowHeight="241300"/>
  <slicer name="Treatment Type" xr10:uid="{BE262C3D-6000-4766-9B20-15D6D4300385}" cache="Slicer_Treatment_Type" caption="Treatment Type" columnCount="2" rowHeight="241300"/>
  <slicer name="Gender" xr10:uid="{7E5171FD-FE11-4C15-B266-341F8F3C705F}" cache="Slicer_Gender" caption="Gende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5D7D01-EA46-4230-BDB1-1C6E1E298121}" name="Hospital_data" displayName="Hospital_data" ref="A1:K401" totalsRowShown="0">
  <autoFilter ref="A1:K401" xr:uid="{CF5D7D01-EA46-4230-BDB1-1C6E1E298121}"/>
  <tableColumns count="11">
    <tableColumn id="1" xr3:uid="{8C1E1079-0D65-443A-96E6-F48EA2D9B2DC}" name="Patient ID"/>
    <tableColumn id="2" xr3:uid="{FEF4DE9E-A1DE-4833-B05A-08DFEB00699A}" name="Department"/>
    <tableColumn id="3" xr3:uid="{DE466C29-08F6-45B7-B4FE-17188B605533}" name="Treatment Type"/>
    <tableColumn id="4" xr3:uid="{5D8229E5-FFF0-478E-A7E3-FB341B8138B3}" name="Doctor Name"/>
    <tableColumn id="5" xr3:uid="{C3FEF933-5418-4494-9C04-DB068DB5BE21}" name="Gender"/>
    <tableColumn id="6" xr3:uid="{FCF69E79-CE7B-4E8B-920A-32F88B2BF2C8}" name="Age"/>
    <tableColumn id="12" xr3:uid="{5C227A26-450A-4ECA-9C64-836A35A6D2F1}" name="Age Group"/>
    <tableColumn id="7" xr3:uid="{E6EE206D-4D60-49D7-BCA6-46A1618F94D0}" name="Treatment Cost"/>
    <tableColumn id="14" xr3:uid="{34456761-E062-4D66-B89D-CE9B68CF077C}" name="Cost Category"/>
    <tableColumn id="8" xr3:uid="{35C03DEA-8290-47FF-9BD9-FB494523DE04}" name="Hospital Stay (Days)"/>
    <tableColumn id="9" xr3:uid="{EE271470-3889-44D7-A77D-315065E6ABDA}" name="Recovery 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1"/>
  <sheetViews>
    <sheetView workbookViewId="0">
      <selection activeCell="D8" sqref="D8"/>
    </sheetView>
  </sheetViews>
  <sheetFormatPr defaultRowHeight="14.5" x14ac:dyDescent="0.35"/>
  <cols>
    <col min="1" max="1" width="11.1796875" customWidth="1"/>
    <col min="2" max="2" width="15.54296875" bestFit="1" customWidth="1"/>
    <col min="3" max="3" width="16.1796875" customWidth="1"/>
    <col min="4" max="4" width="13.90625" customWidth="1"/>
    <col min="5" max="5" width="9" customWidth="1"/>
    <col min="7" max="7" width="10.54296875" customWidth="1"/>
    <col min="8" max="9" width="15.90625" customWidth="1"/>
    <col min="10" max="10" width="19.453125" customWidth="1"/>
    <col min="11" max="11" width="15.36328125" customWidth="1"/>
  </cols>
  <sheetData>
    <row r="1" spans="1:11" x14ac:dyDescent="0.35">
      <c r="A1" t="s">
        <v>0</v>
      </c>
      <c r="B1" t="s">
        <v>1</v>
      </c>
      <c r="C1" t="s">
        <v>2</v>
      </c>
      <c r="D1" t="s">
        <v>3</v>
      </c>
      <c r="E1" t="s">
        <v>4</v>
      </c>
      <c r="F1" t="s">
        <v>5</v>
      </c>
      <c r="G1" t="s">
        <v>433</v>
      </c>
      <c r="H1" t="s">
        <v>6</v>
      </c>
      <c r="I1" t="s">
        <v>443</v>
      </c>
      <c r="J1" t="s">
        <v>7</v>
      </c>
      <c r="K1" t="s">
        <v>8</v>
      </c>
    </row>
    <row r="2" spans="1:11" x14ac:dyDescent="0.35">
      <c r="A2" t="s">
        <v>9</v>
      </c>
      <c r="B2" t="s">
        <v>10</v>
      </c>
      <c r="C2" t="s">
        <v>11</v>
      </c>
      <c r="D2" t="s">
        <v>12</v>
      </c>
      <c r="E2" t="s">
        <v>13</v>
      </c>
      <c r="F2">
        <v>32</v>
      </c>
      <c r="G2" t="s">
        <v>434</v>
      </c>
      <c r="H2">
        <v>8657</v>
      </c>
      <c r="I2" t="s">
        <v>441</v>
      </c>
      <c r="J2">
        <v>7</v>
      </c>
      <c r="K2">
        <v>97</v>
      </c>
    </row>
    <row r="3" spans="1:11" x14ac:dyDescent="0.35">
      <c r="A3" t="s">
        <v>14</v>
      </c>
      <c r="B3" t="s">
        <v>15</v>
      </c>
      <c r="C3" t="s">
        <v>11</v>
      </c>
      <c r="D3" t="s">
        <v>16</v>
      </c>
      <c r="E3" t="s">
        <v>17</v>
      </c>
      <c r="F3">
        <v>4</v>
      </c>
      <c r="G3" t="s">
        <v>435</v>
      </c>
      <c r="H3">
        <v>6535</v>
      </c>
      <c r="I3" t="s">
        <v>442</v>
      </c>
      <c r="J3">
        <v>8</v>
      </c>
      <c r="K3">
        <v>64</v>
      </c>
    </row>
    <row r="4" spans="1:11" x14ac:dyDescent="0.35">
      <c r="A4" t="s">
        <v>18</v>
      </c>
      <c r="B4" t="s">
        <v>19</v>
      </c>
      <c r="C4" t="s">
        <v>11</v>
      </c>
      <c r="D4" t="s">
        <v>20</v>
      </c>
      <c r="E4" t="s">
        <v>17</v>
      </c>
      <c r="F4">
        <v>84</v>
      </c>
      <c r="G4" t="s">
        <v>436</v>
      </c>
      <c r="H4">
        <v>16490</v>
      </c>
      <c r="I4" t="s">
        <v>441</v>
      </c>
      <c r="J4">
        <v>13</v>
      </c>
      <c r="K4">
        <v>76</v>
      </c>
    </row>
    <row r="5" spans="1:11" x14ac:dyDescent="0.35">
      <c r="A5" t="s">
        <v>21</v>
      </c>
      <c r="B5" t="s">
        <v>22</v>
      </c>
      <c r="C5" t="s">
        <v>23</v>
      </c>
      <c r="D5" t="s">
        <v>16</v>
      </c>
      <c r="E5" t="s">
        <v>17</v>
      </c>
      <c r="F5">
        <v>1</v>
      </c>
      <c r="G5" t="s">
        <v>435</v>
      </c>
      <c r="H5">
        <v>1754</v>
      </c>
      <c r="I5" t="s">
        <v>442</v>
      </c>
      <c r="J5">
        <v>1</v>
      </c>
      <c r="K5">
        <v>94</v>
      </c>
    </row>
    <row r="6" spans="1:11" x14ac:dyDescent="0.35">
      <c r="A6" t="s">
        <v>24</v>
      </c>
      <c r="B6" t="s">
        <v>25</v>
      </c>
      <c r="C6" t="s">
        <v>26</v>
      </c>
      <c r="D6" t="s">
        <v>27</v>
      </c>
      <c r="E6" t="s">
        <v>17</v>
      </c>
      <c r="F6">
        <v>44</v>
      </c>
      <c r="G6" t="s">
        <v>434</v>
      </c>
      <c r="H6">
        <v>1837</v>
      </c>
      <c r="I6" t="s">
        <v>442</v>
      </c>
      <c r="J6">
        <v>3</v>
      </c>
      <c r="K6">
        <v>74</v>
      </c>
    </row>
    <row r="7" spans="1:11" x14ac:dyDescent="0.35">
      <c r="A7" t="s">
        <v>28</v>
      </c>
      <c r="B7" t="s">
        <v>15</v>
      </c>
      <c r="C7" t="s">
        <v>26</v>
      </c>
      <c r="D7" t="s">
        <v>29</v>
      </c>
      <c r="E7" t="s">
        <v>13</v>
      </c>
      <c r="F7">
        <v>6</v>
      </c>
      <c r="G7" t="s">
        <v>437</v>
      </c>
      <c r="H7">
        <v>6977</v>
      </c>
      <c r="I7" t="s">
        <v>442</v>
      </c>
      <c r="J7">
        <v>9</v>
      </c>
      <c r="K7">
        <v>84</v>
      </c>
    </row>
    <row r="8" spans="1:11" x14ac:dyDescent="0.35">
      <c r="A8" t="s">
        <v>30</v>
      </c>
      <c r="B8" t="s">
        <v>15</v>
      </c>
      <c r="C8" t="s">
        <v>23</v>
      </c>
      <c r="D8" t="s">
        <v>31</v>
      </c>
      <c r="E8" t="s">
        <v>13</v>
      </c>
      <c r="F8">
        <v>81</v>
      </c>
      <c r="G8" t="s">
        <v>436</v>
      </c>
      <c r="H8">
        <v>1466</v>
      </c>
      <c r="I8" t="s">
        <v>442</v>
      </c>
      <c r="J8">
        <v>2</v>
      </c>
      <c r="K8">
        <v>86</v>
      </c>
    </row>
    <row r="9" spans="1:11" x14ac:dyDescent="0.35">
      <c r="A9" t="s">
        <v>32</v>
      </c>
      <c r="B9" t="s">
        <v>22</v>
      </c>
      <c r="C9" t="s">
        <v>11</v>
      </c>
      <c r="D9" t="s">
        <v>12</v>
      </c>
      <c r="E9" t="s">
        <v>13</v>
      </c>
      <c r="F9">
        <v>38</v>
      </c>
      <c r="G9" t="s">
        <v>434</v>
      </c>
      <c r="H9">
        <v>6307</v>
      </c>
      <c r="I9" t="s">
        <v>442</v>
      </c>
      <c r="J9">
        <v>8</v>
      </c>
      <c r="K9">
        <v>56</v>
      </c>
    </row>
    <row r="10" spans="1:11" x14ac:dyDescent="0.35">
      <c r="A10" t="s">
        <v>33</v>
      </c>
      <c r="B10" t="s">
        <v>25</v>
      </c>
      <c r="C10" t="s">
        <v>26</v>
      </c>
      <c r="D10" t="s">
        <v>34</v>
      </c>
      <c r="E10" t="s">
        <v>13</v>
      </c>
      <c r="F10">
        <v>47</v>
      </c>
      <c r="G10" t="s">
        <v>438</v>
      </c>
      <c r="H10">
        <v>2332</v>
      </c>
      <c r="I10" t="s">
        <v>442</v>
      </c>
      <c r="J10">
        <v>7</v>
      </c>
      <c r="K10">
        <v>72</v>
      </c>
    </row>
    <row r="11" spans="1:11" x14ac:dyDescent="0.35">
      <c r="A11" t="s">
        <v>35</v>
      </c>
      <c r="B11" t="s">
        <v>22</v>
      </c>
      <c r="C11" t="s">
        <v>26</v>
      </c>
      <c r="D11" t="s">
        <v>31</v>
      </c>
      <c r="E11" t="s">
        <v>13</v>
      </c>
      <c r="F11">
        <v>22</v>
      </c>
      <c r="G11" t="s">
        <v>439</v>
      </c>
      <c r="H11">
        <v>5375</v>
      </c>
      <c r="I11" t="s">
        <v>442</v>
      </c>
      <c r="J11">
        <v>5</v>
      </c>
      <c r="K11">
        <v>60</v>
      </c>
    </row>
    <row r="12" spans="1:11" x14ac:dyDescent="0.35">
      <c r="A12" t="s">
        <v>36</v>
      </c>
      <c r="B12" t="s">
        <v>25</v>
      </c>
      <c r="C12" t="s">
        <v>23</v>
      </c>
      <c r="D12" t="s">
        <v>27</v>
      </c>
      <c r="E12" t="s">
        <v>37</v>
      </c>
      <c r="F12">
        <v>82</v>
      </c>
      <c r="G12" t="s">
        <v>436</v>
      </c>
      <c r="H12">
        <v>1609</v>
      </c>
      <c r="I12" t="s">
        <v>442</v>
      </c>
      <c r="J12">
        <v>3</v>
      </c>
      <c r="K12">
        <v>64</v>
      </c>
    </row>
    <row r="13" spans="1:11" x14ac:dyDescent="0.35">
      <c r="A13" t="s">
        <v>38</v>
      </c>
      <c r="B13" t="s">
        <v>10</v>
      </c>
      <c r="C13" t="s">
        <v>26</v>
      </c>
      <c r="D13" t="s">
        <v>12</v>
      </c>
      <c r="E13" t="s">
        <v>17</v>
      </c>
      <c r="F13">
        <v>5</v>
      </c>
      <c r="G13" t="s">
        <v>435</v>
      </c>
      <c r="H13">
        <v>3584</v>
      </c>
      <c r="I13" t="s">
        <v>442</v>
      </c>
      <c r="J13">
        <v>8</v>
      </c>
      <c r="K13">
        <v>67</v>
      </c>
    </row>
    <row r="14" spans="1:11" x14ac:dyDescent="0.35">
      <c r="A14" t="s">
        <v>39</v>
      </c>
      <c r="B14" t="s">
        <v>15</v>
      </c>
      <c r="C14" t="s">
        <v>40</v>
      </c>
      <c r="D14" t="s">
        <v>16</v>
      </c>
      <c r="E14" t="s">
        <v>13</v>
      </c>
      <c r="F14">
        <v>41</v>
      </c>
      <c r="G14" t="s">
        <v>434</v>
      </c>
      <c r="H14">
        <v>2241</v>
      </c>
      <c r="I14" t="s">
        <v>442</v>
      </c>
      <c r="J14">
        <v>4</v>
      </c>
      <c r="K14">
        <v>75</v>
      </c>
    </row>
    <row r="15" spans="1:11" x14ac:dyDescent="0.35">
      <c r="A15" t="s">
        <v>41</v>
      </c>
      <c r="B15" t="s">
        <v>10</v>
      </c>
      <c r="C15" t="s">
        <v>23</v>
      </c>
      <c r="D15" t="s">
        <v>42</v>
      </c>
      <c r="E15" t="s">
        <v>17</v>
      </c>
      <c r="F15">
        <v>32</v>
      </c>
      <c r="G15" t="s">
        <v>434</v>
      </c>
      <c r="H15">
        <v>1725</v>
      </c>
      <c r="I15" t="s">
        <v>442</v>
      </c>
      <c r="J15">
        <v>3</v>
      </c>
      <c r="K15">
        <v>84</v>
      </c>
    </row>
    <row r="16" spans="1:11" x14ac:dyDescent="0.35">
      <c r="A16" t="s">
        <v>43</v>
      </c>
      <c r="B16" t="s">
        <v>44</v>
      </c>
      <c r="C16" t="s">
        <v>23</v>
      </c>
      <c r="D16" t="s">
        <v>16</v>
      </c>
      <c r="E16" t="s">
        <v>17</v>
      </c>
      <c r="F16">
        <v>29</v>
      </c>
      <c r="G16" t="s">
        <v>439</v>
      </c>
      <c r="H16">
        <v>483</v>
      </c>
      <c r="I16" t="s">
        <v>442</v>
      </c>
      <c r="J16">
        <v>3</v>
      </c>
      <c r="K16">
        <v>81</v>
      </c>
    </row>
    <row r="17" spans="1:11" x14ac:dyDescent="0.35">
      <c r="A17" t="s">
        <v>45</v>
      </c>
      <c r="B17" t="s">
        <v>15</v>
      </c>
      <c r="C17" t="s">
        <v>11</v>
      </c>
      <c r="D17" t="s">
        <v>31</v>
      </c>
      <c r="E17" t="s">
        <v>17</v>
      </c>
      <c r="F17">
        <v>21</v>
      </c>
      <c r="G17" t="s">
        <v>439</v>
      </c>
      <c r="H17">
        <v>17977</v>
      </c>
      <c r="I17" t="s">
        <v>441</v>
      </c>
      <c r="J17">
        <v>15</v>
      </c>
      <c r="K17">
        <v>77</v>
      </c>
    </row>
    <row r="18" spans="1:11" x14ac:dyDescent="0.35">
      <c r="A18" t="s">
        <v>46</v>
      </c>
      <c r="B18" t="s">
        <v>19</v>
      </c>
      <c r="C18" t="s">
        <v>11</v>
      </c>
      <c r="D18" t="s">
        <v>47</v>
      </c>
      <c r="E18" t="s">
        <v>17</v>
      </c>
      <c r="F18">
        <v>60</v>
      </c>
      <c r="G18" t="s">
        <v>438</v>
      </c>
      <c r="H18">
        <v>13669</v>
      </c>
      <c r="I18" t="s">
        <v>441</v>
      </c>
      <c r="J18">
        <v>9</v>
      </c>
      <c r="K18">
        <v>85</v>
      </c>
    </row>
    <row r="19" spans="1:11" x14ac:dyDescent="0.35">
      <c r="A19" t="s">
        <v>48</v>
      </c>
      <c r="B19" t="s">
        <v>49</v>
      </c>
      <c r="C19" t="s">
        <v>11</v>
      </c>
      <c r="D19" t="s">
        <v>31</v>
      </c>
      <c r="E19" t="s">
        <v>13</v>
      </c>
      <c r="F19">
        <v>69</v>
      </c>
      <c r="G19" t="s">
        <v>436</v>
      </c>
      <c r="H19">
        <v>17302</v>
      </c>
      <c r="I19" t="s">
        <v>441</v>
      </c>
      <c r="J19">
        <v>9</v>
      </c>
      <c r="K19">
        <v>99</v>
      </c>
    </row>
    <row r="20" spans="1:11" x14ac:dyDescent="0.35">
      <c r="A20" t="s">
        <v>50</v>
      </c>
      <c r="B20" t="s">
        <v>10</v>
      </c>
      <c r="C20" t="s">
        <v>26</v>
      </c>
      <c r="D20" t="s">
        <v>31</v>
      </c>
      <c r="E20" t="s">
        <v>17</v>
      </c>
      <c r="F20">
        <v>21</v>
      </c>
      <c r="G20" t="s">
        <v>439</v>
      </c>
      <c r="H20">
        <v>4716</v>
      </c>
      <c r="I20" t="s">
        <v>442</v>
      </c>
      <c r="J20">
        <v>2</v>
      </c>
      <c r="K20">
        <v>96</v>
      </c>
    </row>
    <row r="21" spans="1:11" x14ac:dyDescent="0.35">
      <c r="A21" t="s">
        <v>51</v>
      </c>
      <c r="B21" t="s">
        <v>10</v>
      </c>
      <c r="C21" t="s">
        <v>26</v>
      </c>
      <c r="D21" t="s">
        <v>20</v>
      </c>
      <c r="E21" t="s">
        <v>13</v>
      </c>
      <c r="F21">
        <v>65</v>
      </c>
      <c r="G21" t="s">
        <v>436</v>
      </c>
      <c r="H21">
        <v>1871</v>
      </c>
      <c r="I21" t="s">
        <v>442</v>
      </c>
      <c r="J21">
        <v>6</v>
      </c>
      <c r="K21">
        <v>90</v>
      </c>
    </row>
    <row r="22" spans="1:11" x14ac:dyDescent="0.35">
      <c r="A22" t="s">
        <v>52</v>
      </c>
      <c r="B22" t="s">
        <v>19</v>
      </c>
      <c r="C22" t="s">
        <v>40</v>
      </c>
      <c r="D22" t="s">
        <v>42</v>
      </c>
      <c r="E22" t="s">
        <v>17</v>
      </c>
      <c r="F22">
        <v>21</v>
      </c>
      <c r="G22" t="s">
        <v>439</v>
      </c>
      <c r="H22">
        <v>4918</v>
      </c>
      <c r="I22" t="s">
        <v>442</v>
      </c>
      <c r="J22">
        <v>5</v>
      </c>
      <c r="K22">
        <v>50</v>
      </c>
    </row>
    <row r="23" spans="1:11" x14ac:dyDescent="0.35">
      <c r="A23" t="s">
        <v>53</v>
      </c>
      <c r="B23" t="s">
        <v>19</v>
      </c>
      <c r="C23" t="s">
        <v>26</v>
      </c>
      <c r="D23" t="s">
        <v>34</v>
      </c>
      <c r="E23" t="s">
        <v>17</v>
      </c>
      <c r="F23">
        <v>47</v>
      </c>
      <c r="G23" t="s">
        <v>438</v>
      </c>
      <c r="H23">
        <v>3519</v>
      </c>
      <c r="I23" t="s">
        <v>442</v>
      </c>
      <c r="J23">
        <v>5</v>
      </c>
      <c r="K23">
        <v>53</v>
      </c>
    </row>
    <row r="24" spans="1:11" x14ac:dyDescent="0.35">
      <c r="A24" t="s">
        <v>54</v>
      </c>
      <c r="B24" t="s">
        <v>22</v>
      </c>
      <c r="C24" t="s">
        <v>11</v>
      </c>
      <c r="D24" t="s">
        <v>31</v>
      </c>
      <c r="E24" t="s">
        <v>13</v>
      </c>
      <c r="F24">
        <v>9</v>
      </c>
      <c r="G24" t="s">
        <v>437</v>
      </c>
      <c r="H24">
        <v>17461</v>
      </c>
      <c r="I24" t="s">
        <v>441</v>
      </c>
      <c r="J24">
        <v>13</v>
      </c>
      <c r="K24">
        <v>99</v>
      </c>
    </row>
    <row r="25" spans="1:11" x14ac:dyDescent="0.35">
      <c r="A25" t="s">
        <v>55</v>
      </c>
      <c r="B25" t="s">
        <v>22</v>
      </c>
      <c r="C25" t="s">
        <v>40</v>
      </c>
      <c r="D25" t="s">
        <v>34</v>
      </c>
      <c r="E25" t="s">
        <v>13</v>
      </c>
      <c r="F25">
        <v>22</v>
      </c>
      <c r="G25" t="s">
        <v>439</v>
      </c>
      <c r="H25">
        <v>2671</v>
      </c>
      <c r="I25" t="s">
        <v>442</v>
      </c>
      <c r="J25">
        <v>5</v>
      </c>
      <c r="K25">
        <v>88</v>
      </c>
    </row>
    <row r="26" spans="1:11" x14ac:dyDescent="0.35">
      <c r="A26" t="s">
        <v>56</v>
      </c>
      <c r="B26" t="s">
        <v>25</v>
      </c>
      <c r="C26" t="s">
        <v>40</v>
      </c>
      <c r="D26" t="s">
        <v>20</v>
      </c>
      <c r="E26" t="s">
        <v>13</v>
      </c>
      <c r="F26">
        <v>89</v>
      </c>
      <c r="G26" t="s">
        <v>436</v>
      </c>
      <c r="H26">
        <v>2147</v>
      </c>
      <c r="I26" t="s">
        <v>442</v>
      </c>
      <c r="J26">
        <v>3</v>
      </c>
      <c r="K26">
        <v>75</v>
      </c>
    </row>
    <row r="27" spans="1:11" x14ac:dyDescent="0.35">
      <c r="A27" t="s">
        <v>57</v>
      </c>
      <c r="B27" t="s">
        <v>10</v>
      </c>
      <c r="C27" t="s">
        <v>26</v>
      </c>
      <c r="D27" t="s">
        <v>34</v>
      </c>
      <c r="E27" t="s">
        <v>13</v>
      </c>
      <c r="F27">
        <v>58</v>
      </c>
      <c r="G27" t="s">
        <v>438</v>
      </c>
      <c r="H27">
        <v>1991</v>
      </c>
      <c r="I27" t="s">
        <v>442</v>
      </c>
      <c r="J27">
        <v>5</v>
      </c>
      <c r="K27">
        <v>64</v>
      </c>
    </row>
    <row r="28" spans="1:11" x14ac:dyDescent="0.35">
      <c r="A28" t="s">
        <v>58</v>
      </c>
      <c r="B28" t="s">
        <v>15</v>
      </c>
      <c r="C28" t="s">
        <v>26</v>
      </c>
      <c r="D28" t="s">
        <v>12</v>
      </c>
      <c r="E28" t="s">
        <v>13</v>
      </c>
      <c r="F28">
        <v>30</v>
      </c>
      <c r="G28" t="s">
        <v>434</v>
      </c>
      <c r="H28">
        <v>5820</v>
      </c>
      <c r="I28" t="s">
        <v>442</v>
      </c>
      <c r="J28">
        <v>5</v>
      </c>
      <c r="K28">
        <v>50</v>
      </c>
    </row>
    <row r="29" spans="1:11" x14ac:dyDescent="0.35">
      <c r="A29" t="s">
        <v>59</v>
      </c>
      <c r="B29" t="s">
        <v>15</v>
      </c>
      <c r="C29" t="s">
        <v>11</v>
      </c>
      <c r="D29" t="s">
        <v>60</v>
      </c>
      <c r="E29" t="s">
        <v>17</v>
      </c>
      <c r="F29">
        <v>5</v>
      </c>
      <c r="G29" t="s">
        <v>435</v>
      </c>
      <c r="H29">
        <v>19084</v>
      </c>
      <c r="I29" t="s">
        <v>441</v>
      </c>
      <c r="J29">
        <v>10</v>
      </c>
      <c r="K29">
        <v>54</v>
      </c>
    </row>
    <row r="30" spans="1:11" x14ac:dyDescent="0.35">
      <c r="A30" t="s">
        <v>61</v>
      </c>
      <c r="B30" t="s">
        <v>19</v>
      </c>
      <c r="C30" t="s">
        <v>40</v>
      </c>
      <c r="D30" t="s">
        <v>27</v>
      </c>
      <c r="E30" t="s">
        <v>13</v>
      </c>
      <c r="F30">
        <v>28</v>
      </c>
      <c r="G30" t="s">
        <v>439</v>
      </c>
      <c r="H30">
        <v>4917</v>
      </c>
      <c r="I30" t="s">
        <v>442</v>
      </c>
      <c r="J30">
        <v>2</v>
      </c>
      <c r="K30">
        <v>96</v>
      </c>
    </row>
    <row r="31" spans="1:11" x14ac:dyDescent="0.35">
      <c r="A31" t="s">
        <v>62</v>
      </c>
      <c r="B31" t="s">
        <v>19</v>
      </c>
      <c r="C31" t="s">
        <v>23</v>
      </c>
      <c r="D31" t="s">
        <v>60</v>
      </c>
      <c r="E31" t="s">
        <v>13</v>
      </c>
      <c r="F31">
        <v>53</v>
      </c>
      <c r="G31" t="s">
        <v>438</v>
      </c>
      <c r="H31">
        <v>589</v>
      </c>
      <c r="I31" t="s">
        <v>442</v>
      </c>
      <c r="J31">
        <v>1</v>
      </c>
      <c r="K31">
        <v>56</v>
      </c>
    </row>
    <row r="32" spans="1:11" x14ac:dyDescent="0.35">
      <c r="A32" t="s">
        <v>63</v>
      </c>
      <c r="B32" t="s">
        <v>10</v>
      </c>
      <c r="C32" t="s">
        <v>23</v>
      </c>
      <c r="D32" t="s">
        <v>29</v>
      </c>
      <c r="E32" t="s">
        <v>17</v>
      </c>
      <c r="F32">
        <v>60</v>
      </c>
      <c r="G32" t="s">
        <v>438</v>
      </c>
      <c r="H32">
        <v>1969</v>
      </c>
      <c r="I32" t="s">
        <v>442</v>
      </c>
      <c r="J32">
        <v>3</v>
      </c>
      <c r="K32">
        <v>53</v>
      </c>
    </row>
    <row r="33" spans="1:11" x14ac:dyDescent="0.35">
      <c r="A33" t="s">
        <v>64</v>
      </c>
      <c r="B33" t="s">
        <v>10</v>
      </c>
      <c r="C33" t="s">
        <v>11</v>
      </c>
      <c r="D33" t="s">
        <v>12</v>
      </c>
      <c r="E33" t="s">
        <v>17</v>
      </c>
      <c r="F33">
        <v>44</v>
      </c>
      <c r="G33" t="s">
        <v>434</v>
      </c>
      <c r="H33">
        <v>18116</v>
      </c>
      <c r="I33" t="s">
        <v>441</v>
      </c>
      <c r="J33">
        <v>6</v>
      </c>
      <c r="K33">
        <v>65</v>
      </c>
    </row>
    <row r="34" spans="1:11" x14ac:dyDescent="0.35">
      <c r="A34" t="s">
        <v>65</v>
      </c>
      <c r="B34" t="s">
        <v>22</v>
      </c>
      <c r="C34" t="s">
        <v>40</v>
      </c>
      <c r="D34" t="s">
        <v>20</v>
      </c>
      <c r="E34" t="s">
        <v>17</v>
      </c>
      <c r="F34">
        <v>55</v>
      </c>
      <c r="G34" t="s">
        <v>438</v>
      </c>
      <c r="H34">
        <v>2003</v>
      </c>
      <c r="I34" t="s">
        <v>442</v>
      </c>
      <c r="J34">
        <v>3</v>
      </c>
      <c r="K34">
        <v>79</v>
      </c>
    </row>
    <row r="35" spans="1:11" x14ac:dyDescent="0.35">
      <c r="A35" t="s">
        <v>66</v>
      </c>
      <c r="B35" t="s">
        <v>22</v>
      </c>
      <c r="C35" t="s">
        <v>11</v>
      </c>
      <c r="D35" t="s">
        <v>34</v>
      </c>
      <c r="E35" t="s">
        <v>13</v>
      </c>
      <c r="F35">
        <v>71</v>
      </c>
      <c r="G35" t="s">
        <v>436</v>
      </c>
      <c r="H35">
        <v>6604</v>
      </c>
      <c r="I35" t="s">
        <v>442</v>
      </c>
      <c r="J35">
        <v>5</v>
      </c>
      <c r="K35">
        <v>91</v>
      </c>
    </row>
    <row r="36" spans="1:11" x14ac:dyDescent="0.35">
      <c r="A36" t="s">
        <v>67</v>
      </c>
      <c r="B36" t="s">
        <v>19</v>
      </c>
      <c r="C36" t="s">
        <v>11</v>
      </c>
      <c r="D36" t="s">
        <v>31</v>
      </c>
      <c r="E36" t="s">
        <v>13</v>
      </c>
      <c r="F36">
        <v>31</v>
      </c>
      <c r="G36" t="s">
        <v>434</v>
      </c>
      <c r="H36">
        <v>7724</v>
      </c>
      <c r="I36" t="s">
        <v>441</v>
      </c>
      <c r="J36">
        <v>11</v>
      </c>
      <c r="K36">
        <v>81</v>
      </c>
    </row>
    <row r="37" spans="1:11" x14ac:dyDescent="0.35">
      <c r="A37" t="s">
        <v>68</v>
      </c>
      <c r="B37" t="s">
        <v>25</v>
      </c>
      <c r="C37" t="s">
        <v>40</v>
      </c>
      <c r="D37" t="s">
        <v>47</v>
      </c>
      <c r="E37" t="s">
        <v>13</v>
      </c>
      <c r="F37">
        <v>22</v>
      </c>
      <c r="G37" t="s">
        <v>439</v>
      </c>
      <c r="H37">
        <v>3604</v>
      </c>
      <c r="I37" t="s">
        <v>442</v>
      </c>
      <c r="J37">
        <v>1</v>
      </c>
      <c r="K37">
        <v>74</v>
      </c>
    </row>
    <row r="38" spans="1:11" x14ac:dyDescent="0.35">
      <c r="A38" t="s">
        <v>69</v>
      </c>
      <c r="B38" t="s">
        <v>44</v>
      </c>
      <c r="C38" t="s">
        <v>23</v>
      </c>
      <c r="D38" t="s">
        <v>27</v>
      </c>
      <c r="E38" t="s">
        <v>17</v>
      </c>
      <c r="F38">
        <v>72</v>
      </c>
      <c r="G38" t="s">
        <v>436</v>
      </c>
      <c r="H38">
        <v>1555</v>
      </c>
      <c r="I38" t="s">
        <v>442</v>
      </c>
      <c r="J38">
        <v>3</v>
      </c>
      <c r="K38">
        <v>81</v>
      </c>
    </row>
    <row r="39" spans="1:11" x14ac:dyDescent="0.35">
      <c r="A39" t="s">
        <v>70</v>
      </c>
      <c r="B39" t="s">
        <v>22</v>
      </c>
      <c r="C39" t="s">
        <v>40</v>
      </c>
      <c r="D39" t="s">
        <v>27</v>
      </c>
      <c r="E39" t="s">
        <v>17</v>
      </c>
      <c r="F39">
        <v>8</v>
      </c>
      <c r="G39" t="s">
        <v>437</v>
      </c>
      <c r="H39">
        <v>4941</v>
      </c>
      <c r="I39" t="s">
        <v>442</v>
      </c>
      <c r="J39">
        <v>1</v>
      </c>
      <c r="K39">
        <v>97</v>
      </c>
    </row>
    <row r="40" spans="1:11" x14ac:dyDescent="0.35">
      <c r="A40" t="s">
        <v>71</v>
      </c>
      <c r="B40" t="s">
        <v>44</v>
      </c>
      <c r="C40" t="s">
        <v>11</v>
      </c>
      <c r="D40" t="s">
        <v>12</v>
      </c>
      <c r="E40" t="s">
        <v>13</v>
      </c>
      <c r="F40">
        <v>65</v>
      </c>
      <c r="G40" t="s">
        <v>436</v>
      </c>
      <c r="H40">
        <v>18970</v>
      </c>
      <c r="I40" t="s">
        <v>441</v>
      </c>
      <c r="J40">
        <v>13</v>
      </c>
      <c r="K40">
        <v>60</v>
      </c>
    </row>
    <row r="41" spans="1:11" x14ac:dyDescent="0.35">
      <c r="A41" t="s">
        <v>72</v>
      </c>
      <c r="B41" t="s">
        <v>15</v>
      </c>
      <c r="C41" t="s">
        <v>11</v>
      </c>
      <c r="D41" t="s">
        <v>42</v>
      </c>
      <c r="E41" t="s">
        <v>17</v>
      </c>
      <c r="F41">
        <v>9</v>
      </c>
      <c r="G41" t="s">
        <v>437</v>
      </c>
      <c r="H41">
        <v>16062</v>
      </c>
      <c r="I41" t="s">
        <v>441</v>
      </c>
      <c r="J41">
        <v>8</v>
      </c>
      <c r="K41">
        <v>75</v>
      </c>
    </row>
    <row r="42" spans="1:11" x14ac:dyDescent="0.35">
      <c r="A42" t="s">
        <v>73</v>
      </c>
      <c r="B42" t="s">
        <v>15</v>
      </c>
      <c r="C42" t="s">
        <v>40</v>
      </c>
      <c r="D42" t="s">
        <v>16</v>
      </c>
      <c r="E42" t="s">
        <v>13</v>
      </c>
      <c r="F42">
        <v>80</v>
      </c>
      <c r="G42" t="s">
        <v>436</v>
      </c>
      <c r="H42">
        <v>1171</v>
      </c>
      <c r="I42" t="s">
        <v>442</v>
      </c>
      <c r="J42">
        <v>4</v>
      </c>
      <c r="K42">
        <v>92</v>
      </c>
    </row>
    <row r="43" spans="1:11" x14ac:dyDescent="0.35">
      <c r="A43" t="s">
        <v>74</v>
      </c>
      <c r="B43" t="s">
        <v>19</v>
      </c>
      <c r="C43" t="s">
        <v>26</v>
      </c>
      <c r="D43" t="s">
        <v>27</v>
      </c>
      <c r="E43" t="s">
        <v>17</v>
      </c>
      <c r="F43">
        <v>41</v>
      </c>
      <c r="G43" t="s">
        <v>434</v>
      </c>
      <c r="H43">
        <v>2955</v>
      </c>
      <c r="I43" t="s">
        <v>442</v>
      </c>
      <c r="J43">
        <v>6</v>
      </c>
      <c r="K43">
        <v>75</v>
      </c>
    </row>
    <row r="44" spans="1:11" x14ac:dyDescent="0.35">
      <c r="A44" t="s">
        <v>75</v>
      </c>
      <c r="B44" t="s">
        <v>22</v>
      </c>
      <c r="C44" t="s">
        <v>26</v>
      </c>
      <c r="D44" t="s">
        <v>34</v>
      </c>
      <c r="E44" t="s">
        <v>17</v>
      </c>
      <c r="F44">
        <v>10</v>
      </c>
      <c r="G44" t="s">
        <v>437</v>
      </c>
      <c r="H44">
        <v>1076</v>
      </c>
      <c r="I44" t="s">
        <v>442</v>
      </c>
      <c r="J44">
        <v>9</v>
      </c>
      <c r="K44">
        <v>89</v>
      </c>
    </row>
    <row r="45" spans="1:11" x14ac:dyDescent="0.35">
      <c r="A45" t="s">
        <v>76</v>
      </c>
      <c r="B45" t="s">
        <v>19</v>
      </c>
      <c r="C45" t="s">
        <v>11</v>
      </c>
      <c r="D45" t="s">
        <v>31</v>
      </c>
      <c r="E45" t="s">
        <v>13</v>
      </c>
      <c r="F45">
        <v>65</v>
      </c>
      <c r="G45" t="s">
        <v>436</v>
      </c>
      <c r="H45">
        <v>9345</v>
      </c>
      <c r="I45" t="s">
        <v>441</v>
      </c>
      <c r="J45">
        <v>7</v>
      </c>
      <c r="K45">
        <v>72</v>
      </c>
    </row>
    <row r="46" spans="1:11" x14ac:dyDescent="0.35">
      <c r="A46" t="s">
        <v>77</v>
      </c>
      <c r="B46" t="s">
        <v>15</v>
      </c>
      <c r="C46" t="s">
        <v>40</v>
      </c>
      <c r="D46" t="s">
        <v>29</v>
      </c>
      <c r="E46" t="s">
        <v>17</v>
      </c>
      <c r="F46">
        <v>57</v>
      </c>
      <c r="G46" t="s">
        <v>438</v>
      </c>
      <c r="H46">
        <v>4950</v>
      </c>
      <c r="I46" t="s">
        <v>442</v>
      </c>
      <c r="J46">
        <v>3</v>
      </c>
      <c r="K46">
        <v>89</v>
      </c>
    </row>
    <row r="47" spans="1:11" x14ac:dyDescent="0.35">
      <c r="A47" t="s">
        <v>78</v>
      </c>
      <c r="B47" t="s">
        <v>49</v>
      </c>
      <c r="C47" t="s">
        <v>11</v>
      </c>
      <c r="D47" t="s">
        <v>20</v>
      </c>
      <c r="E47" t="s">
        <v>17</v>
      </c>
      <c r="F47">
        <v>85</v>
      </c>
      <c r="G47" t="s">
        <v>436</v>
      </c>
      <c r="H47">
        <v>6697</v>
      </c>
      <c r="I47" t="s">
        <v>442</v>
      </c>
      <c r="J47">
        <v>7</v>
      </c>
      <c r="K47">
        <v>66</v>
      </c>
    </row>
    <row r="48" spans="1:11" x14ac:dyDescent="0.35">
      <c r="A48" t="s">
        <v>79</v>
      </c>
      <c r="B48" t="s">
        <v>15</v>
      </c>
      <c r="C48" t="s">
        <v>11</v>
      </c>
      <c r="D48" t="s">
        <v>20</v>
      </c>
      <c r="E48" t="s">
        <v>17</v>
      </c>
      <c r="F48">
        <v>37</v>
      </c>
      <c r="G48" t="s">
        <v>434</v>
      </c>
      <c r="H48">
        <v>14909</v>
      </c>
      <c r="I48" t="s">
        <v>441</v>
      </c>
      <c r="J48">
        <v>8</v>
      </c>
      <c r="K48">
        <v>95</v>
      </c>
    </row>
    <row r="49" spans="1:11" x14ac:dyDescent="0.35">
      <c r="A49" t="s">
        <v>80</v>
      </c>
      <c r="B49" t="s">
        <v>44</v>
      </c>
      <c r="C49" t="s">
        <v>40</v>
      </c>
      <c r="D49" t="s">
        <v>27</v>
      </c>
      <c r="E49" t="s">
        <v>13</v>
      </c>
      <c r="F49">
        <v>33</v>
      </c>
      <c r="G49" t="s">
        <v>434</v>
      </c>
      <c r="H49">
        <v>916</v>
      </c>
      <c r="I49" t="s">
        <v>442</v>
      </c>
      <c r="J49">
        <v>1</v>
      </c>
      <c r="K49">
        <v>90</v>
      </c>
    </row>
    <row r="50" spans="1:11" x14ac:dyDescent="0.35">
      <c r="A50" t="s">
        <v>81</v>
      </c>
      <c r="B50" t="s">
        <v>25</v>
      </c>
      <c r="C50" t="s">
        <v>26</v>
      </c>
      <c r="D50" t="s">
        <v>12</v>
      </c>
      <c r="E50" t="s">
        <v>17</v>
      </c>
      <c r="F50">
        <v>17</v>
      </c>
      <c r="G50" t="s">
        <v>440</v>
      </c>
      <c r="H50">
        <v>6219</v>
      </c>
      <c r="I50" t="s">
        <v>442</v>
      </c>
      <c r="J50">
        <v>6</v>
      </c>
      <c r="K50">
        <v>60</v>
      </c>
    </row>
    <row r="51" spans="1:11" x14ac:dyDescent="0.35">
      <c r="A51" t="s">
        <v>82</v>
      </c>
      <c r="B51" t="s">
        <v>10</v>
      </c>
      <c r="C51" t="s">
        <v>23</v>
      </c>
      <c r="D51" t="s">
        <v>20</v>
      </c>
      <c r="E51" t="s">
        <v>13</v>
      </c>
      <c r="F51">
        <v>72</v>
      </c>
      <c r="G51" t="s">
        <v>436</v>
      </c>
      <c r="H51">
        <v>219</v>
      </c>
      <c r="I51" t="s">
        <v>442</v>
      </c>
      <c r="J51">
        <v>1</v>
      </c>
      <c r="K51">
        <v>54</v>
      </c>
    </row>
    <row r="52" spans="1:11" x14ac:dyDescent="0.35">
      <c r="A52" t="s">
        <v>83</v>
      </c>
      <c r="B52" t="s">
        <v>10</v>
      </c>
      <c r="C52" t="s">
        <v>40</v>
      </c>
      <c r="D52" t="s">
        <v>20</v>
      </c>
      <c r="E52" t="s">
        <v>17</v>
      </c>
      <c r="F52">
        <v>48</v>
      </c>
      <c r="G52" t="s">
        <v>438</v>
      </c>
      <c r="H52">
        <v>1713</v>
      </c>
      <c r="I52" t="s">
        <v>442</v>
      </c>
      <c r="J52">
        <v>4</v>
      </c>
      <c r="K52">
        <v>58</v>
      </c>
    </row>
    <row r="53" spans="1:11" x14ac:dyDescent="0.35">
      <c r="A53" t="s">
        <v>84</v>
      </c>
      <c r="B53" t="s">
        <v>15</v>
      </c>
      <c r="C53" t="s">
        <v>26</v>
      </c>
      <c r="D53" t="s">
        <v>29</v>
      </c>
      <c r="E53" t="s">
        <v>13</v>
      </c>
      <c r="F53">
        <v>6</v>
      </c>
      <c r="G53" t="s">
        <v>437</v>
      </c>
      <c r="H53">
        <v>3931</v>
      </c>
      <c r="I53" t="s">
        <v>442</v>
      </c>
      <c r="J53">
        <v>5</v>
      </c>
      <c r="K53">
        <v>93</v>
      </c>
    </row>
    <row r="54" spans="1:11" x14ac:dyDescent="0.35">
      <c r="A54" t="s">
        <v>85</v>
      </c>
      <c r="B54" t="s">
        <v>22</v>
      </c>
      <c r="C54" t="s">
        <v>11</v>
      </c>
      <c r="D54" t="s">
        <v>29</v>
      </c>
      <c r="E54" t="s">
        <v>13</v>
      </c>
      <c r="F54">
        <v>53</v>
      </c>
      <c r="G54" t="s">
        <v>438</v>
      </c>
      <c r="H54">
        <v>15168</v>
      </c>
      <c r="I54" t="s">
        <v>441</v>
      </c>
      <c r="J54">
        <v>7</v>
      </c>
      <c r="K54">
        <v>65</v>
      </c>
    </row>
    <row r="55" spans="1:11" x14ac:dyDescent="0.35">
      <c r="A55" t="s">
        <v>86</v>
      </c>
      <c r="B55" t="s">
        <v>49</v>
      </c>
      <c r="C55" t="s">
        <v>40</v>
      </c>
      <c r="D55" t="s">
        <v>42</v>
      </c>
      <c r="E55" t="s">
        <v>13</v>
      </c>
      <c r="F55">
        <v>4</v>
      </c>
      <c r="G55" t="s">
        <v>435</v>
      </c>
      <c r="H55">
        <v>1969</v>
      </c>
      <c r="I55" t="s">
        <v>442</v>
      </c>
      <c r="J55">
        <v>3</v>
      </c>
      <c r="K55">
        <v>100</v>
      </c>
    </row>
    <row r="56" spans="1:11" x14ac:dyDescent="0.35">
      <c r="A56" t="s">
        <v>87</v>
      </c>
      <c r="B56" t="s">
        <v>25</v>
      </c>
      <c r="C56" t="s">
        <v>40</v>
      </c>
      <c r="D56" t="s">
        <v>27</v>
      </c>
      <c r="E56" t="s">
        <v>17</v>
      </c>
      <c r="F56">
        <v>90</v>
      </c>
      <c r="G56" t="s">
        <v>436</v>
      </c>
      <c r="H56">
        <v>1385</v>
      </c>
      <c r="I56" t="s">
        <v>442</v>
      </c>
      <c r="J56">
        <v>4</v>
      </c>
      <c r="K56">
        <v>52</v>
      </c>
    </row>
    <row r="57" spans="1:11" x14ac:dyDescent="0.35">
      <c r="A57" t="s">
        <v>88</v>
      </c>
      <c r="B57" t="s">
        <v>49</v>
      </c>
      <c r="C57" t="s">
        <v>23</v>
      </c>
      <c r="D57" t="s">
        <v>60</v>
      </c>
      <c r="E57" t="s">
        <v>17</v>
      </c>
      <c r="F57">
        <v>59</v>
      </c>
      <c r="G57" t="s">
        <v>438</v>
      </c>
      <c r="H57">
        <v>916</v>
      </c>
      <c r="I57" t="s">
        <v>442</v>
      </c>
      <c r="J57">
        <v>2</v>
      </c>
      <c r="K57">
        <v>100</v>
      </c>
    </row>
    <row r="58" spans="1:11" x14ac:dyDescent="0.35">
      <c r="A58" t="s">
        <v>89</v>
      </c>
      <c r="B58" t="s">
        <v>49</v>
      </c>
      <c r="C58" t="s">
        <v>40</v>
      </c>
      <c r="D58" t="s">
        <v>60</v>
      </c>
      <c r="E58" t="s">
        <v>17</v>
      </c>
      <c r="F58">
        <v>25</v>
      </c>
      <c r="G58" t="s">
        <v>439</v>
      </c>
      <c r="H58">
        <v>3764</v>
      </c>
      <c r="I58" t="s">
        <v>442</v>
      </c>
      <c r="J58">
        <v>3</v>
      </c>
      <c r="K58">
        <v>67</v>
      </c>
    </row>
    <row r="59" spans="1:11" x14ac:dyDescent="0.35">
      <c r="A59" t="s">
        <v>90</v>
      </c>
      <c r="B59" t="s">
        <v>49</v>
      </c>
      <c r="C59" t="s">
        <v>11</v>
      </c>
      <c r="D59" t="s">
        <v>27</v>
      </c>
      <c r="E59" t="s">
        <v>17</v>
      </c>
      <c r="F59">
        <v>66</v>
      </c>
      <c r="G59" t="s">
        <v>436</v>
      </c>
      <c r="H59">
        <v>11548</v>
      </c>
      <c r="I59" t="s">
        <v>441</v>
      </c>
      <c r="J59">
        <v>15</v>
      </c>
      <c r="K59">
        <v>84</v>
      </c>
    </row>
    <row r="60" spans="1:11" x14ac:dyDescent="0.35">
      <c r="A60" t="s">
        <v>91</v>
      </c>
      <c r="B60" t="s">
        <v>44</v>
      </c>
      <c r="C60" t="s">
        <v>11</v>
      </c>
      <c r="D60" t="s">
        <v>31</v>
      </c>
      <c r="E60" t="s">
        <v>13</v>
      </c>
      <c r="F60">
        <v>34</v>
      </c>
      <c r="G60" t="s">
        <v>434</v>
      </c>
      <c r="H60">
        <v>7925</v>
      </c>
      <c r="I60" t="s">
        <v>441</v>
      </c>
      <c r="J60">
        <v>14</v>
      </c>
      <c r="K60">
        <v>66</v>
      </c>
    </row>
    <row r="61" spans="1:11" x14ac:dyDescent="0.35">
      <c r="A61" t="s">
        <v>92</v>
      </c>
      <c r="B61" t="s">
        <v>15</v>
      </c>
      <c r="C61" t="s">
        <v>11</v>
      </c>
      <c r="D61" t="s">
        <v>16</v>
      </c>
      <c r="E61" t="s">
        <v>17</v>
      </c>
      <c r="F61">
        <v>41</v>
      </c>
      <c r="G61" t="s">
        <v>434</v>
      </c>
      <c r="H61">
        <v>12149</v>
      </c>
      <c r="I61" t="s">
        <v>441</v>
      </c>
      <c r="J61">
        <v>14</v>
      </c>
      <c r="K61">
        <v>82</v>
      </c>
    </row>
    <row r="62" spans="1:11" x14ac:dyDescent="0.35">
      <c r="A62" t="s">
        <v>93</v>
      </c>
      <c r="B62" t="s">
        <v>15</v>
      </c>
      <c r="C62" t="s">
        <v>23</v>
      </c>
      <c r="D62" t="s">
        <v>16</v>
      </c>
      <c r="E62" t="s">
        <v>17</v>
      </c>
      <c r="F62">
        <v>6</v>
      </c>
      <c r="G62" t="s">
        <v>437</v>
      </c>
      <c r="H62">
        <v>1651</v>
      </c>
      <c r="I62" t="s">
        <v>442</v>
      </c>
      <c r="J62">
        <v>2</v>
      </c>
      <c r="K62">
        <v>50</v>
      </c>
    </row>
    <row r="63" spans="1:11" x14ac:dyDescent="0.35">
      <c r="A63" t="s">
        <v>94</v>
      </c>
      <c r="B63" t="s">
        <v>19</v>
      </c>
      <c r="C63" t="s">
        <v>40</v>
      </c>
      <c r="D63" t="s">
        <v>29</v>
      </c>
      <c r="E63" t="s">
        <v>17</v>
      </c>
      <c r="F63">
        <v>86</v>
      </c>
      <c r="G63" t="s">
        <v>436</v>
      </c>
      <c r="H63">
        <v>3204</v>
      </c>
      <c r="I63" t="s">
        <v>442</v>
      </c>
      <c r="J63">
        <v>5</v>
      </c>
      <c r="K63">
        <v>70</v>
      </c>
    </row>
    <row r="64" spans="1:11" x14ac:dyDescent="0.35">
      <c r="A64" t="s">
        <v>95</v>
      </c>
      <c r="B64" t="s">
        <v>10</v>
      </c>
      <c r="C64" t="s">
        <v>11</v>
      </c>
      <c r="D64" t="s">
        <v>27</v>
      </c>
      <c r="E64" t="s">
        <v>13</v>
      </c>
      <c r="F64">
        <v>86</v>
      </c>
      <c r="G64" t="s">
        <v>436</v>
      </c>
      <c r="H64">
        <v>11691</v>
      </c>
      <c r="I64" t="s">
        <v>441</v>
      </c>
      <c r="J64">
        <v>10</v>
      </c>
      <c r="K64">
        <v>75</v>
      </c>
    </row>
    <row r="65" spans="1:11" x14ac:dyDescent="0.35">
      <c r="A65" t="s">
        <v>96</v>
      </c>
      <c r="B65" t="s">
        <v>10</v>
      </c>
      <c r="C65" t="s">
        <v>26</v>
      </c>
      <c r="D65" t="s">
        <v>20</v>
      </c>
      <c r="E65" t="s">
        <v>17</v>
      </c>
      <c r="F65">
        <v>54</v>
      </c>
      <c r="G65" t="s">
        <v>438</v>
      </c>
      <c r="H65">
        <v>6447</v>
      </c>
      <c r="I65" t="s">
        <v>442</v>
      </c>
      <c r="J65">
        <v>8</v>
      </c>
      <c r="K65">
        <v>93</v>
      </c>
    </row>
    <row r="66" spans="1:11" x14ac:dyDescent="0.35">
      <c r="A66" t="s">
        <v>97</v>
      </c>
      <c r="B66" t="s">
        <v>10</v>
      </c>
      <c r="C66" t="s">
        <v>40</v>
      </c>
      <c r="D66" t="s">
        <v>16</v>
      </c>
      <c r="E66" t="s">
        <v>13</v>
      </c>
      <c r="F66">
        <v>52</v>
      </c>
      <c r="G66" t="s">
        <v>438</v>
      </c>
      <c r="H66">
        <v>4988</v>
      </c>
      <c r="I66" t="s">
        <v>442</v>
      </c>
      <c r="J66">
        <v>1</v>
      </c>
      <c r="K66">
        <v>69</v>
      </c>
    </row>
    <row r="67" spans="1:11" x14ac:dyDescent="0.35">
      <c r="A67" t="s">
        <v>98</v>
      </c>
      <c r="B67" t="s">
        <v>44</v>
      </c>
      <c r="C67" t="s">
        <v>40</v>
      </c>
      <c r="D67" t="s">
        <v>47</v>
      </c>
      <c r="E67" t="s">
        <v>13</v>
      </c>
      <c r="F67">
        <v>78</v>
      </c>
      <c r="G67" t="s">
        <v>436</v>
      </c>
      <c r="H67">
        <v>3139</v>
      </c>
      <c r="I67" t="s">
        <v>442</v>
      </c>
      <c r="J67">
        <v>4</v>
      </c>
      <c r="K67">
        <v>78</v>
      </c>
    </row>
    <row r="68" spans="1:11" x14ac:dyDescent="0.35">
      <c r="A68" t="s">
        <v>99</v>
      </c>
      <c r="B68" t="s">
        <v>25</v>
      </c>
      <c r="C68" t="s">
        <v>40</v>
      </c>
      <c r="D68" t="s">
        <v>20</v>
      </c>
      <c r="E68" t="s">
        <v>17</v>
      </c>
      <c r="F68">
        <v>22</v>
      </c>
      <c r="G68" t="s">
        <v>439</v>
      </c>
      <c r="H68">
        <v>1194</v>
      </c>
      <c r="I68" t="s">
        <v>442</v>
      </c>
      <c r="J68">
        <v>3</v>
      </c>
      <c r="K68">
        <v>82</v>
      </c>
    </row>
    <row r="69" spans="1:11" x14ac:dyDescent="0.35">
      <c r="A69" t="s">
        <v>100</v>
      </c>
      <c r="B69" t="s">
        <v>10</v>
      </c>
      <c r="C69" t="s">
        <v>26</v>
      </c>
      <c r="D69" t="s">
        <v>31</v>
      </c>
      <c r="E69" t="s">
        <v>13</v>
      </c>
      <c r="F69">
        <v>31</v>
      </c>
      <c r="G69" t="s">
        <v>434</v>
      </c>
      <c r="H69">
        <v>6511</v>
      </c>
      <c r="I69" t="s">
        <v>442</v>
      </c>
      <c r="J69">
        <v>6</v>
      </c>
      <c r="K69">
        <v>64</v>
      </c>
    </row>
    <row r="70" spans="1:11" x14ac:dyDescent="0.35">
      <c r="A70" t="s">
        <v>101</v>
      </c>
      <c r="B70" t="s">
        <v>49</v>
      </c>
      <c r="C70" t="s">
        <v>40</v>
      </c>
      <c r="D70" t="s">
        <v>42</v>
      </c>
      <c r="E70" t="s">
        <v>17</v>
      </c>
      <c r="F70">
        <v>32</v>
      </c>
      <c r="G70" t="s">
        <v>434</v>
      </c>
      <c r="H70">
        <v>4392</v>
      </c>
      <c r="I70" t="s">
        <v>442</v>
      </c>
      <c r="J70">
        <v>5</v>
      </c>
      <c r="K70">
        <v>99</v>
      </c>
    </row>
    <row r="71" spans="1:11" x14ac:dyDescent="0.35">
      <c r="A71" t="s">
        <v>102</v>
      </c>
      <c r="B71" t="s">
        <v>15</v>
      </c>
      <c r="C71" t="s">
        <v>23</v>
      </c>
      <c r="D71" t="s">
        <v>47</v>
      </c>
      <c r="E71" t="s">
        <v>13</v>
      </c>
      <c r="F71">
        <v>74</v>
      </c>
      <c r="G71" t="s">
        <v>436</v>
      </c>
      <c r="H71">
        <v>598</v>
      </c>
      <c r="I71" t="s">
        <v>442</v>
      </c>
      <c r="J71">
        <v>3</v>
      </c>
      <c r="K71">
        <v>94</v>
      </c>
    </row>
    <row r="72" spans="1:11" x14ac:dyDescent="0.35">
      <c r="A72" t="s">
        <v>103</v>
      </c>
      <c r="B72" t="s">
        <v>25</v>
      </c>
      <c r="C72" t="s">
        <v>23</v>
      </c>
      <c r="D72" t="s">
        <v>47</v>
      </c>
      <c r="E72" t="s">
        <v>17</v>
      </c>
      <c r="F72">
        <v>84</v>
      </c>
      <c r="G72" t="s">
        <v>436</v>
      </c>
      <c r="H72">
        <v>1608</v>
      </c>
      <c r="I72" t="s">
        <v>442</v>
      </c>
      <c r="J72">
        <v>1</v>
      </c>
      <c r="K72">
        <v>98</v>
      </c>
    </row>
    <row r="73" spans="1:11" x14ac:dyDescent="0.35">
      <c r="A73" t="s">
        <v>104</v>
      </c>
      <c r="B73" t="s">
        <v>49</v>
      </c>
      <c r="C73" t="s">
        <v>11</v>
      </c>
      <c r="D73" t="s">
        <v>47</v>
      </c>
      <c r="E73" t="s">
        <v>17</v>
      </c>
      <c r="F73">
        <v>90</v>
      </c>
      <c r="G73" t="s">
        <v>436</v>
      </c>
      <c r="H73">
        <v>13486</v>
      </c>
      <c r="I73" t="s">
        <v>441</v>
      </c>
      <c r="J73">
        <v>12</v>
      </c>
      <c r="K73">
        <v>53</v>
      </c>
    </row>
    <row r="74" spans="1:11" x14ac:dyDescent="0.35">
      <c r="A74" t="s">
        <v>105</v>
      </c>
      <c r="B74" t="s">
        <v>19</v>
      </c>
      <c r="C74" t="s">
        <v>40</v>
      </c>
      <c r="D74" t="s">
        <v>31</v>
      </c>
      <c r="E74" t="s">
        <v>17</v>
      </c>
      <c r="F74">
        <v>60</v>
      </c>
      <c r="G74" t="s">
        <v>438</v>
      </c>
      <c r="H74">
        <v>4851</v>
      </c>
      <c r="I74" t="s">
        <v>442</v>
      </c>
      <c r="J74">
        <v>5</v>
      </c>
      <c r="K74">
        <v>88</v>
      </c>
    </row>
    <row r="75" spans="1:11" x14ac:dyDescent="0.35">
      <c r="A75" t="s">
        <v>106</v>
      </c>
      <c r="B75" t="s">
        <v>44</v>
      </c>
      <c r="C75" t="s">
        <v>23</v>
      </c>
      <c r="D75" t="s">
        <v>16</v>
      </c>
      <c r="E75" t="s">
        <v>13</v>
      </c>
      <c r="F75">
        <v>65</v>
      </c>
      <c r="G75" t="s">
        <v>436</v>
      </c>
      <c r="H75">
        <v>1073</v>
      </c>
      <c r="I75" t="s">
        <v>442</v>
      </c>
      <c r="J75">
        <v>3</v>
      </c>
      <c r="K75">
        <v>78</v>
      </c>
    </row>
    <row r="76" spans="1:11" x14ac:dyDescent="0.35">
      <c r="A76" t="s">
        <v>107</v>
      </c>
      <c r="B76" t="s">
        <v>22</v>
      </c>
      <c r="C76" t="s">
        <v>23</v>
      </c>
      <c r="D76" t="s">
        <v>34</v>
      </c>
      <c r="E76" t="s">
        <v>17</v>
      </c>
      <c r="F76">
        <v>32</v>
      </c>
      <c r="G76" t="s">
        <v>434</v>
      </c>
      <c r="H76">
        <v>1920</v>
      </c>
      <c r="I76" t="s">
        <v>442</v>
      </c>
      <c r="J76">
        <v>3</v>
      </c>
      <c r="K76">
        <v>67</v>
      </c>
    </row>
    <row r="77" spans="1:11" x14ac:dyDescent="0.35">
      <c r="A77" t="s">
        <v>108</v>
      </c>
      <c r="B77" t="s">
        <v>49</v>
      </c>
      <c r="C77" t="s">
        <v>23</v>
      </c>
      <c r="D77" t="s">
        <v>60</v>
      </c>
      <c r="E77" t="s">
        <v>17</v>
      </c>
      <c r="F77">
        <v>10</v>
      </c>
      <c r="G77" t="s">
        <v>437</v>
      </c>
      <c r="H77">
        <v>1661</v>
      </c>
      <c r="I77" t="s">
        <v>442</v>
      </c>
      <c r="J77">
        <v>2</v>
      </c>
      <c r="K77">
        <v>65</v>
      </c>
    </row>
    <row r="78" spans="1:11" x14ac:dyDescent="0.35">
      <c r="A78" t="s">
        <v>109</v>
      </c>
      <c r="B78" t="s">
        <v>44</v>
      </c>
      <c r="C78" t="s">
        <v>26</v>
      </c>
      <c r="D78" t="s">
        <v>29</v>
      </c>
      <c r="E78" t="s">
        <v>13</v>
      </c>
      <c r="F78">
        <v>11</v>
      </c>
      <c r="G78" t="s">
        <v>437</v>
      </c>
      <c r="H78">
        <v>2133</v>
      </c>
      <c r="I78" t="s">
        <v>442</v>
      </c>
      <c r="J78">
        <v>4</v>
      </c>
      <c r="K78">
        <v>64</v>
      </c>
    </row>
    <row r="79" spans="1:11" x14ac:dyDescent="0.35">
      <c r="A79" t="s">
        <v>110</v>
      </c>
      <c r="B79" t="s">
        <v>25</v>
      </c>
      <c r="C79" t="s">
        <v>40</v>
      </c>
      <c r="D79" t="s">
        <v>60</v>
      </c>
      <c r="E79" t="s">
        <v>17</v>
      </c>
      <c r="F79">
        <v>53</v>
      </c>
      <c r="G79" t="s">
        <v>438</v>
      </c>
      <c r="H79">
        <v>3210</v>
      </c>
      <c r="I79" t="s">
        <v>442</v>
      </c>
      <c r="J79">
        <v>5</v>
      </c>
      <c r="K79">
        <v>79</v>
      </c>
    </row>
    <row r="80" spans="1:11" x14ac:dyDescent="0.35">
      <c r="A80" t="s">
        <v>111</v>
      </c>
      <c r="B80" t="s">
        <v>25</v>
      </c>
      <c r="C80" t="s">
        <v>11</v>
      </c>
      <c r="D80" t="s">
        <v>60</v>
      </c>
      <c r="E80" t="s">
        <v>13</v>
      </c>
      <c r="F80">
        <v>50</v>
      </c>
      <c r="G80" t="s">
        <v>438</v>
      </c>
      <c r="H80">
        <v>19824</v>
      </c>
      <c r="I80" t="s">
        <v>441</v>
      </c>
      <c r="J80">
        <v>14</v>
      </c>
      <c r="K80">
        <v>94</v>
      </c>
    </row>
    <row r="81" spans="1:11" x14ac:dyDescent="0.35">
      <c r="A81" t="s">
        <v>112</v>
      </c>
      <c r="B81" t="s">
        <v>15</v>
      </c>
      <c r="C81" t="s">
        <v>23</v>
      </c>
      <c r="D81" t="s">
        <v>34</v>
      </c>
      <c r="E81" t="s">
        <v>17</v>
      </c>
      <c r="F81">
        <v>46</v>
      </c>
      <c r="G81" t="s">
        <v>438</v>
      </c>
      <c r="H81">
        <v>811</v>
      </c>
      <c r="I81" t="s">
        <v>442</v>
      </c>
      <c r="J81">
        <v>2</v>
      </c>
      <c r="K81">
        <v>76</v>
      </c>
    </row>
    <row r="82" spans="1:11" x14ac:dyDescent="0.35">
      <c r="A82" t="s">
        <v>113</v>
      </c>
      <c r="B82" t="s">
        <v>19</v>
      </c>
      <c r="C82" t="s">
        <v>40</v>
      </c>
      <c r="D82" t="s">
        <v>34</v>
      </c>
      <c r="E82" t="s">
        <v>17</v>
      </c>
      <c r="F82">
        <v>56</v>
      </c>
      <c r="G82" t="s">
        <v>438</v>
      </c>
      <c r="H82">
        <v>4478</v>
      </c>
      <c r="I82" t="s">
        <v>442</v>
      </c>
      <c r="J82">
        <v>1</v>
      </c>
      <c r="K82">
        <v>74</v>
      </c>
    </row>
    <row r="83" spans="1:11" x14ac:dyDescent="0.35">
      <c r="A83" t="s">
        <v>114</v>
      </c>
      <c r="B83" t="s">
        <v>44</v>
      </c>
      <c r="C83" t="s">
        <v>23</v>
      </c>
      <c r="D83" t="s">
        <v>42</v>
      </c>
      <c r="E83" t="s">
        <v>13</v>
      </c>
      <c r="F83">
        <v>17</v>
      </c>
      <c r="G83" t="s">
        <v>440</v>
      </c>
      <c r="H83">
        <v>1474</v>
      </c>
      <c r="I83" t="s">
        <v>442</v>
      </c>
      <c r="J83">
        <v>3</v>
      </c>
      <c r="K83">
        <v>51</v>
      </c>
    </row>
    <row r="84" spans="1:11" x14ac:dyDescent="0.35">
      <c r="A84" t="s">
        <v>115</v>
      </c>
      <c r="B84" t="s">
        <v>25</v>
      </c>
      <c r="C84" t="s">
        <v>11</v>
      </c>
      <c r="D84" t="s">
        <v>31</v>
      </c>
      <c r="E84" t="s">
        <v>13</v>
      </c>
      <c r="F84">
        <v>18</v>
      </c>
      <c r="G84" t="s">
        <v>440</v>
      </c>
      <c r="H84">
        <v>19202</v>
      </c>
      <c r="I84" t="s">
        <v>441</v>
      </c>
      <c r="J84">
        <v>12</v>
      </c>
      <c r="K84">
        <v>61</v>
      </c>
    </row>
    <row r="85" spans="1:11" x14ac:dyDescent="0.35">
      <c r="A85" t="s">
        <v>116</v>
      </c>
      <c r="B85" t="s">
        <v>15</v>
      </c>
      <c r="C85" t="s">
        <v>26</v>
      </c>
      <c r="D85" t="s">
        <v>47</v>
      </c>
      <c r="E85" t="s">
        <v>17</v>
      </c>
      <c r="F85">
        <v>59</v>
      </c>
      <c r="G85" t="s">
        <v>438</v>
      </c>
      <c r="H85">
        <v>3677</v>
      </c>
      <c r="I85" t="s">
        <v>442</v>
      </c>
      <c r="J85">
        <v>7</v>
      </c>
      <c r="K85">
        <v>98</v>
      </c>
    </row>
    <row r="86" spans="1:11" x14ac:dyDescent="0.35">
      <c r="A86" t="s">
        <v>117</v>
      </c>
      <c r="B86" t="s">
        <v>25</v>
      </c>
      <c r="C86" t="s">
        <v>26</v>
      </c>
      <c r="D86" t="s">
        <v>47</v>
      </c>
      <c r="E86" t="s">
        <v>17</v>
      </c>
      <c r="F86">
        <v>11</v>
      </c>
      <c r="G86" t="s">
        <v>437</v>
      </c>
      <c r="H86">
        <v>4852</v>
      </c>
      <c r="I86" t="s">
        <v>442</v>
      </c>
      <c r="J86">
        <v>2</v>
      </c>
      <c r="K86">
        <v>97</v>
      </c>
    </row>
    <row r="87" spans="1:11" x14ac:dyDescent="0.35">
      <c r="A87" t="s">
        <v>118</v>
      </c>
      <c r="B87" t="s">
        <v>19</v>
      </c>
      <c r="C87" t="s">
        <v>11</v>
      </c>
      <c r="D87" t="s">
        <v>29</v>
      </c>
      <c r="E87" t="s">
        <v>17</v>
      </c>
      <c r="F87">
        <v>9</v>
      </c>
      <c r="G87" t="s">
        <v>437</v>
      </c>
      <c r="H87">
        <v>17799</v>
      </c>
      <c r="I87" t="s">
        <v>441</v>
      </c>
      <c r="J87">
        <v>15</v>
      </c>
      <c r="K87">
        <v>52</v>
      </c>
    </row>
    <row r="88" spans="1:11" x14ac:dyDescent="0.35">
      <c r="A88" t="s">
        <v>119</v>
      </c>
      <c r="B88" t="s">
        <v>49</v>
      </c>
      <c r="C88" t="s">
        <v>11</v>
      </c>
      <c r="D88" t="s">
        <v>60</v>
      </c>
      <c r="E88" t="s">
        <v>17</v>
      </c>
      <c r="F88">
        <v>3</v>
      </c>
      <c r="G88" t="s">
        <v>435</v>
      </c>
      <c r="H88">
        <v>15179</v>
      </c>
      <c r="I88" t="s">
        <v>441</v>
      </c>
      <c r="J88">
        <v>7</v>
      </c>
      <c r="K88">
        <v>65</v>
      </c>
    </row>
    <row r="89" spans="1:11" x14ac:dyDescent="0.35">
      <c r="A89" t="s">
        <v>120</v>
      </c>
      <c r="B89" t="s">
        <v>22</v>
      </c>
      <c r="C89" t="s">
        <v>23</v>
      </c>
      <c r="D89" t="s">
        <v>31</v>
      </c>
      <c r="E89" t="s">
        <v>13</v>
      </c>
      <c r="F89">
        <v>28</v>
      </c>
      <c r="G89" t="s">
        <v>439</v>
      </c>
      <c r="H89">
        <v>1152</v>
      </c>
      <c r="I89" t="s">
        <v>442</v>
      </c>
      <c r="J89">
        <v>3</v>
      </c>
      <c r="K89">
        <v>66</v>
      </c>
    </row>
    <row r="90" spans="1:11" x14ac:dyDescent="0.35">
      <c r="A90" t="s">
        <v>121</v>
      </c>
      <c r="B90" t="s">
        <v>49</v>
      </c>
      <c r="C90" t="s">
        <v>26</v>
      </c>
      <c r="D90" t="s">
        <v>42</v>
      </c>
      <c r="E90" t="s">
        <v>13</v>
      </c>
      <c r="F90">
        <v>15</v>
      </c>
      <c r="G90" t="s">
        <v>440</v>
      </c>
      <c r="H90">
        <v>2341</v>
      </c>
      <c r="I90" t="s">
        <v>442</v>
      </c>
      <c r="J90">
        <v>6</v>
      </c>
      <c r="K90">
        <v>56</v>
      </c>
    </row>
    <row r="91" spans="1:11" x14ac:dyDescent="0.35">
      <c r="A91" t="s">
        <v>122</v>
      </c>
      <c r="B91" t="s">
        <v>19</v>
      </c>
      <c r="C91" t="s">
        <v>11</v>
      </c>
      <c r="D91" t="s">
        <v>27</v>
      </c>
      <c r="E91" t="s">
        <v>13</v>
      </c>
      <c r="F91">
        <v>49</v>
      </c>
      <c r="G91" t="s">
        <v>438</v>
      </c>
      <c r="H91">
        <v>11498</v>
      </c>
      <c r="I91" t="s">
        <v>441</v>
      </c>
      <c r="J91">
        <v>8</v>
      </c>
      <c r="K91">
        <v>54</v>
      </c>
    </row>
    <row r="92" spans="1:11" x14ac:dyDescent="0.35">
      <c r="A92" t="s">
        <v>123</v>
      </c>
      <c r="B92" t="s">
        <v>19</v>
      </c>
      <c r="C92" t="s">
        <v>40</v>
      </c>
      <c r="D92" t="s">
        <v>31</v>
      </c>
      <c r="E92" t="s">
        <v>13</v>
      </c>
      <c r="F92">
        <v>39</v>
      </c>
      <c r="G92" t="s">
        <v>434</v>
      </c>
      <c r="H92">
        <v>1491</v>
      </c>
      <c r="I92" t="s">
        <v>442</v>
      </c>
      <c r="J92">
        <v>5</v>
      </c>
      <c r="K92">
        <v>100</v>
      </c>
    </row>
    <row r="93" spans="1:11" x14ac:dyDescent="0.35">
      <c r="A93" t="s">
        <v>124</v>
      </c>
      <c r="B93" t="s">
        <v>15</v>
      </c>
      <c r="C93" t="s">
        <v>26</v>
      </c>
      <c r="D93" t="s">
        <v>20</v>
      </c>
      <c r="E93" t="s">
        <v>17</v>
      </c>
      <c r="F93">
        <v>48</v>
      </c>
      <c r="G93" t="s">
        <v>438</v>
      </c>
      <c r="H93">
        <v>1564</v>
      </c>
      <c r="I93" t="s">
        <v>442</v>
      </c>
      <c r="J93">
        <v>10</v>
      </c>
      <c r="K93">
        <v>91</v>
      </c>
    </row>
    <row r="94" spans="1:11" x14ac:dyDescent="0.35">
      <c r="A94" t="s">
        <v>125</v>
      </c>
      <c r="B94" t="s">
        <v>44</v>
      </c>
      <c r="C94" t="s">
        <v>11</v>
      </c>
      <c r="D94" t="s">
        <v>47</v>
      </c>
      <c r="E94" t="s">
        <v>13</v>
      </c>
      <c r="F94">
        <v>14</v>
      </c>
      <c r="G94" t="s">
        <v>440</v>
      </c>
      <c r="H94">
        <v>12102</v>
      </c>
      <c r="I94" t="s">
        <v>441</v>
      </c>
      <c r="J94">
        <v>10</v>
      </c>
      <c r="K94">
        <v>90</v>
      </c>
    </row>
    <row r="95" spans="1:11" x14ac:dyDescent="0.35">
      <c r="A95" t="s">
        <v>126</v>
      </c>
      <c r="B95" t="s">
        <v>49</v>
      </c>
      <c r="C95" t="s">
        <v>23</v>
      </c>
      <c r="D95" t="s">
        <v>42</v>
      </c>
      <c r="E95" t="s">
        <v>17</v>
      </c>
      <c r="F95">
        <v>67</v>
      </c>
      <c r="G95" t="s">
        <v>436</v>
      </c>
      <c r="H95">
        <v>1532</v>
      </c>
      <c r="I95" t="s">
        <v>442</v>
      </c>
      <c r="J95">
        <v>2</v>
      </c>
      <c r="K95">
        <v>89</v>
      </c>
    </row>
    <row r="96" spans="1:11" x14ac:dyDescent="0.35">
      <c r="A96" t="s">
        <v>127</v>
      </c>
      <c r="B96" t="s">
        <v>49</v>
      </c>
      <c r="C96" t="s">
        <v>23</v>
      </c>
      <c r="D96" t="s">
        <v>34</v>
      </c>
      <c r="E96" t="s">
        <v>17</v>
      </c>
      <c r="F96">
        <v>76</v>
      </c>
      <c r="G96" t="s">
        <v>436</v>
      </c>
      <c r="H96">
        <v>749</v>
      </c>
      <c r="I96" t="s">
        <v>442</v>
      </c>
      <c r="J96">
        <v>2</v>
      </c>
      <c r="K96">
        <v>65</v>
      </c>
    </row>
    <row r="97" spans="1:11" x14ac:dyDescent="0.35">
      <c r="A97" t="s">
        <v>128</v>
      </c>
      <c r="B97" t="s">
        <v>49</v>
      </c>
      <c r="C97" t="s">
        <v>11</v>
      </c>
      <c r="D97" t="s">
        <v>27</v>
      </c>
      <c r="E97" t="s">
        <v>13</v>
      </c>
      <c r="F97">
        <v>32</v>
      </c>
      <c r="G97" t="s">
        <v>434</v>
      </c>
      <c r="H97">
        <v>17295</v>
      </c>
      <c r="I97" t="s">
        <v>441</v>
      </c>
      <c r="J97">
        <v>12</v>
      </c>
      <c r="K97">
        <v>86</v>
      </c>
    </row>
    <row r="98" spans="1:11" x14ac:dyDescent="0.35">
      <c r="A98" t="s">
        <v>129</v>
      </c>
      <c r="B98" t="s">
        <v>19</v>
      </c>
      <c r="C98" t="s">
        <v>23</v>
      </c>
      <c r="D98" t="s">
        <v>29</v>
      </c>
      <c r="E98" t="s">
        <v>17</v>
      </c>
      <c r="F98">
        <v>42</v>
      </c>
      <c r="G98" t="s">
        <v>434</v>
      </c>
      <c r="H98">
        <v>572</v>
      </c>
      <c r="I98" t="s">
        <v>442</v>
      </c>
      <c r="J98">
        <v>2</v>
      </c>
      <c r="K98">
        <v>63</v>
      </c>
    </row>
    <row r="99" spans="1:11" x14ac:dyDescent="0.35">
      <c r="A99" t="s">
        <v>130</v>
      </c>
      <c r="B99" t="s">
        <v>44</v>
      </c>
      <c r="C99" t="s">
        <v>26</v>
      </c>
      <c r="D99" t="s">
        <v>29</v>
      </c>
      <c r="E99" t="s">
        <v>17</v>
      </c>
      <c r="F99">
        <v>77</v>
      </c>
      <c r="G99" t="s">
        <v>436</v>
      </c>
      <c r="H99">
        <v>6744</v>
      </c>
      <c r="I99" t="s">
        <v>442</v>
      </c>
      <c r="J99">
        <v>6</v>
      </c>
      <c r="K99">
        <v>85</v>
      </c>
    </row>
    <row r="100" spans="1:11" x14ac:dyDescent="0.35">
      <c r="A100" t="s">
        <v>131</v>
      </c>
      <c r="B100" t="s">
        <v>15</v>
      </c>
      <c r="C100" t="s">
        <v>40</v>
      </c>
      <c r="D100" t="s">
        <v>31</v>
      </c>
      <c r="E100" t="s">
        <v>17</v>
      </c>
      <c r="F100">
        <v>53</v>
      </c>
      <c r="G100" t="s">
        <v>438</v>
      </c>
      <c r="H100">
        <v>4502</v>
      </c>
      <c r="I100" t="s">
        <v>442</v>
      </c>
      <c r="J100">
        <v>5</v>
      </c>
      <c r="K100">
        <v>98</v>
      </c>
    </row>
    <row r="101" spans="1:11" x14ac:dyDescent="0.35">
      <c r="A101" t="s">
        <v>132</v>
      </c>
      <c r="B101" t="s">
        <v>22</v>
      </c>
      <c r="C101" t="s">
        <v>23</v>
      </c>
      <c r="D101" t="s">
        <v>34</v>
      </c>
      <c r="E101" t="s">
        <v>17</v>
      </c>
      <c r="F101">
        <v>3</v>
      </c>
      <c r="G101" t="s">
        <v>435</v>
      </c>
      <c r="H101">
        <v>390</v>
      </c>
      <c r="I101" t="s">
        <v>442</v>
      </c>
      <c r="J101">
        <v>2</v>
      </c>
      <c r="K101">
        <v>64</v>
      </c>
    </row>
    <row r="102" spans="1:11" x14ac:dyDescent="0.35">
      <c r="A102" t="s">
        <v>133</v>
      </c>
      <c r="B102" t="s">
        <v>25</v>
      </c>
      <c r="C102" t="s">
        <v>40</v>
      </c>
      <c r="D102" t="s">
        <v>27</v>
      </c>
      <c r="E102" t="s">
        <v>13</v>
      </c>
      <c r="F102">
        <v>48</v>
      </c>
      <c r="G102" t="s">
        <v>438</v>
      </c>
      <c r="H102">
        <v>4376</v>
      </c>
      <c r="I102" t="s">
        <v>442</v>
      </c>
      <c r="J102">
        <v>5</v>
      </c>
      <c r="K102">
        <v>83</v>
      </c>
    </row>
    <row r="103" spans="1:11" x14ac:dyDescent="0.35">
      <c r="A103" t="s">
        <v>134</v>
      </c>
      <c r="B103" t="s">
        <v>44</v>
      </c>
      <c r="C103" t="s">
        <v>23</v>
      </c>
      <c r="D103" t="s">
        <v>20</v>
      </c>
      <c r="E103" t="s">
        <v>17</v>
      </c>
      <c r="F103">
        <v>90</v>
      </c>
      <c r="G103" t="s">
        <v>436</v>
      </c>
      <c r="H103">
        <v>1129</v>
      </c>
      <c r="I103" t="s">
        <v>442</v>
      </c>
      <c r="J103">
        <v>2</v>
      </c>
      <c r="K103">
        <v>69</v>
      </c>
    </row>
    <row r="104" spans="1:11" x14ac:dyDescent="0.35">
      <c r="A104" t="s">
        <v>135</v>
      </c>
      <c r="B104" t="s">
        <v>44</v>
      </c>
      <c r="C104" t="s">
        <v>40</v>
      </c>
      <c r="D104" t="s">
        <v>31</v>
      </c>
      <c r="E104" t="s">
        <v>13</v>
      </c>
      <c r="F104">
        <v>41</v>
      </c>
      <c r="G104" t="s">
        <v>434</v>
      </c>
      <c r="H104">
        <v>1479</v>
      </c>
      <c r="I104" t="s">
        <v>442</v>
      </c>
      <c r="J104">
        <v>5</v>
      </c>
      <c r="K104">
        <v>98</v>
      </c>
    </row>
    <row r="105" spans="1:11" x14ac:dyDescent="0.35">
      <c r="A105" t="s">
        <v>136</v>
      </c>
      <c r="B105" t="s">
        <v>10</v>
      </c>
      <c r="C105" t="s">
        <v>40</v>
      </c>
      <c r="D105" t="s">
        <v>60</v>
      </c>
      <c r="E105" t="s">
        <v>17</v>
      </c>
      <c r="F105">
        <v>62</v>
      </c>
      <c r="G105" t="s">
        <v>436</v>
      </c>
      <c r="H105">
        <v>2765</v>
      </c>
      <c r="I105" t="s">
        <v>442</v>
      </c>
      <c r="J105">
        <v>5</v>
      </c>
      <c r="K105">
        <v>98</v>
      </c>
    </row>
    <row r="106" spans="1:11" x14ac:dyDescent="0.35">
      <c r="A106" t="s">
        <v>137</v>
      </c>
      <c r="B106" t="s">
        <v>19</v>
      </c>
      <c r="C106" t="s">
        <v>26</v>
      </c>
      <c r="D106" t="s">
        <v>31</v>
      </c>
      <c r="E106" t="s">
        <v>13</v>
      </c>
      <c r="F106">
        <v>38</v>
      </c>
      <c r="G106" t="s">
        <v>434</v>
      </c>
      <c r="H106">
        <v>2863</v>
      </c>
      <c r="I106" t="s">
        <v>442</v>
      </c>
      <c r="J106">
        <v>7</v>
      </c>
      <c r="K106">
        <v>61</v>
      </c>
    </row>
    <row r="107" spans="1:11" x14ac:dyDescent="0.35">
      <c r="A107" t="s">
        <v>138</v>
      </c>
      <c r="B107" t="s">
        <v>44</v>
      </c>
      <c r="C107" t="s">
        <v>11</v>
      </c>
      <c r="D107" t="s">
        <v>20</v>
      </c>
      <c r="E107" t="s">
        <v>17</v>
      </c>
      <c r="F107">
        <v>6</v>
      </c>
      <c r="G107" t="s">
        <v>437</v>
      </c>
      <c r="H107">
        <v>5893</v>
      </c>
      <c r="I107" t="s">
        <v>442</v>
      </c>
      <c r="J107">
        <v>13</v>
      </c>
      <c r="K107">
        <v>68</v>
      </c>
    </row>
    <row r="108" spans="1:11" x14ac:dyDescent="0.35">
      <c r="A108" t="s">
        <v>139</v>
      </c>
      <c r="B108" t="s">
        <v>10</v>
      </c>
      <c r="C108" t="s">
        <v>40</v>
      </c>
      <c r="D108" t="s">
        <v>34</v>
      </c>
      <c r="E108" t="s">
        <v>17</v>
      </c>
      <c r="F108">
        <v>2</v>
      </c>
      <c r="G108" t="s">
        <v>435</v>
      </c>
      <c r="H108">
        <v>2829</v>
      </c>
      <c r="I108" t="s">
        <v>442</v>
      </c>
      <c r="J108">
        <v>4</v>
      </c>
      <c r="K108">
        <v>80</v>
      </c>
    </row>
    <row r="109" spans="1:11" x14ac:dyDescent="0.35">
      <c r="A109" t="s">
        <v>140</v>
      </c>
      <c r="B109" t="s">
        <v>25</v>
      </c>
      <c r="C109" t="s">
        <v>26</v>
      </c>
      <c r="D109" t="s">
        <v>42</v>
      </c>
      <c r="E109" t="s">
        <v>13</v>
      </c>
      <c r="F109">
        <v>33</v>
      </c>
      <c r="G109" t="s">
        <v>434</v>
      </c>
      <c r="H109">
        <v>4913</v>
      </c>
      <c r="I109" t="s">
        <v>442</v>
      </c>
      <c r="J109">
        <v>3</v>
      </c>
      <c r="K109">
        <v>54</v>
      </c>
    </row>
    <row r="110" spans="1:11" x14ac:dyDescent="0.35">
      <c r="A110" t="s">
        <v>141</v>
      </c>
      <c r="B110" t="s">
        <v>25</v>
      </c>
      <c r="C110" t="s">
        <v>23</v>
      </c>
      <c r="D110" t="s">
        <v>31</v>
      </c>
      <c r="E110" t="s">
        <v>13</v>
      </c>
      <c r="F110">
        <v>88</v>
      </c>
      <c r="G110" t="s">
        <v>436</v>
      </c>
      <c r="H110">
        <v>309</v>
      </c>
      <c r="I110" t="s">
        <v>442</v>
      </c>
      <c r="J110">
        <v>1</v>
      </c>
      <c r="K110">
        <v>59</v>
      </c>
    </row>
    <row r="111" spans="1:11" x14ac:dyDescent="0.35">
      <c r="A111" t="s">
        <v>142</v>
      </c>
      <c r="B111" t="s">
        <v>49</v>
      </c>
      <c r="C111" t="s">
        <v>26</v>
      </c>
      <c r="D111" t="s">
        <v>31</v>
      </c>
      <c r="E111" t="s">
        <v>37</v>
      </c>
      <c r="F111">
        <v>16</v>
      </c>
      <c r="G111" t="s">
        <v>440</v>
      </c>
      <c r="H111">
        <v>5571</v>
      </c>
      <c r="I111" t="s">
        <v>442</v>
      </c>
      <c r="J111">
        <v>8</v>
      </c>
      <c r="K111">
        <v>88</v>
      </c>
    </row>
    <row r="112" spans="1:11" x14ac:dyDescent="0.35">
      <c r="A112" t="s">
        <v>143</v>
      </c>
      <c r="B112" t="s">
        <v>19</v>
      </c>
      <c r="C112" t="s">
        <v>40</v>
      </c>
      <c r="D112" t="s">
        <v>20</v>
      </c>
      <c r="E112" t="s">
        <v>17</v>
      </c>
      <c r="F112">
        <v>57</v>
      </c>
      <c r="G112" t="s">
        <v>438</v>
      </c>
      <c r="H112">
        <v>2935</v>
      </c>
      <c r="I112" t="s">
        <v>442</v>
      </c>
      <c r="J112">
        <v>5</v>
      </c>
      <c r="K112">
        <v>77</v>
      </c>
    </row>
    <row r="113" spans="1:11" x14ac:dyDescent="0.35">
      <c r="A113" t="s">
        <v>144</v>
      </c>
      <c r="B113" t="s">
        <v>44</v>
      </c>
      <c r="C113" t="s">
        <v>11</v>
      </c>
      <c r="D113" t="s">
        <v>16</v>
      </c>
      <c r="E113" t="s">
        <v>13</v>
      </c>
      <c r="F113">
        <v>13</v>
      </c>
      <c r="G113" t="s">
        <v>440</v>
      </c>
      <c r="H113">
        <v>17496</v>
      </c>
      <c r="I113" t="s">
        <v>441</v>
      </c>
      <c r="J113">
        <v>8</v>
      </c>
      <c r="K113">
        <v>90</v>
      </c>
    </row>
    <row r="114" spans="1:11" x14ac:dyDescent="0.35">
      <c r="A114" t="s">
        <v>145</v>
      </c>
      <c r="B114" t="s">
        <v>22</v>
      </c>
      <c r="C114" t="s">
        <v>26</v>
      </c>
      <c r="D114" t="s">
        <v>31</v>
      </c>
      <c r="E114" t="s">
        <v>17</v>
      </c>
      <c r="F114">
        <v>23</v>
      </c>
      <c r="G114" t="s">
        <v>439</v>
      </c>
      <c r="H114">
        <v>5521</v>
      </c>
      <c r="I114" t="s">
        <v>442</v>
      </c>
      <c r="J114">
        <v>3</v>
      </c>
      <c r="K114">
        <v>60</v>
      </c>
    </row>
    <row r="115" spans="1:11" x14ac:dyDescent="0.35">
      <c r="A115" t="s">
        <v>146</v>
      </c>
      <c r="B115" t="s">
        <v>15</v>
      </c>
      <c r="C115" t="s">
        <v>23</v>
      </c>
      <c r="D115" t="s">
        <v>34</v>
      </c>
      <c r="E115" t="s">
        <v>13</v>
      </c>
      <c r="F115">
        <v>61</v>
      </c>
      <c r="G115" t="s">
        <v>436</v>
      </c>
      <c r="H115">
        <v>796</v>
      </c>
      <c r="I115" t="s">
        <v>442</v>
      </c>
      <c r="J115">
        <v>1</v>
      </c>
      <c r="K115">
        <v>64</v>
      </c>
    </row>
    <row r="116" spans="1:11" x14ac:dyDescent="0.35">
      <c r="A116" t="s">
        <v>147</v>
      </c>
      <c r="B116" t="s">
        <v>44</v>
      </c>
      <c r="C116" t="s">
        <v>26</v>
      </c>
      <c r="D116" t="s">
        <v>34</v>
      </c>
      <c r="E116" t="s">
        <v>17</v>
      </c>
      <c r="F116">
        <v>30</v>
      </c>
      <c r="G116" t="s">
        <v>434</v>
      </c>
      <c r="H116">
        <v>3167</v>
      </c>
      <c r="I116" t="s">
        <v>442</v>
      </c>
      <c r="J116">
        <v>5</v>
      </c>
      <c r="K116">
        <v>77</v>
      </c>
    </row>
    <row r="117" spans="1:11" x14ac:dyDescent="0.35">
      <c r="A117" t="s">
        <v>148</v>
      </c>
      <c r="B117" t="s">
        <v>15</v>
      </c>
      <c r="C117" t="s">
        <v>40</v>
      </c>
      <c r="D117" t="s">
        <v>42</v>
      </c>
      <c r="E117" t="s">
        <v>13</v>
      </c>
      <c r="F117">
        <v>19</v>
      </c>
      <c r="G117" t="s">
        <v>440</v>
      </c>
      <c r="H117">
        <v>1084</v>
      </c>
      <c r="I117" t="s">
        <v>442</v>
      </c>
      <c r="J117">
        <v>1</v>
      </c>
      <c r="K117">
        <v>60</v>
      </c>
    </row>
    <row r="118" spans="1:11" x14ac:dyDescent="0.35">
      <c r="A118" t="s">
        <v>149</v>
      </c>
      <c r="B118" t="s">
        <v>49</v>
      </c>
      <c r="C118" t="s">
        <v>26</v>
      </c>
      <c r="D118" t="s">
        <v>16</v>
      </c>
      <c r="E118" t="s">
        <v>13</v>
      </c>
      <c r="F118">
        <v>73</v>
      </c>
      <c r="G118" t="s">
        <v>436</v>
      </c>
      <c r="H118">
        <v>3364</v>
      </c>
      <c r="I118" t="s">
        <v>442</v>
      </c>
      <c r="J118">
        <v>9</v>
      </c>
      <c r="K118">
        <v>57</v>
      </c>
    </row>
    <row r="119" spans="1:11" x14ac:dyDescent="0.35">
      <c r="A119" t="s">
        <v>150</v>
      </c>
      <c r="B119" t="s">
        <v>25</v>
      </c>
      <c r="C119" t="s">
        <v>26</v>
      </c>
      <c r="D119" t="s">
        <v>47</v>
      </c>
      <c r="E119" t="s">
        <v>13</v>
      </c>
      <c r="F119">
        <v>65</v>
      </c>
      <c r="G119" t="s">
        <v>436</v>
      </c>
      <c r="H119">
        <v>5423</v>
      </c>
      <c r="I119" t="s">
        <v>442</v>
      </c>
      <c r="J119">
        <v>9</v>
      </c>
      <c r="K119">
        <v>78</v>
      </c>
    </row>
    <row r="120" spans="1:11" x14ac:dyDescent="0.35">
      <c r="A120" t="s">
        <v>151</v>
      </c>
      <c r="B120" t="s">
        <v>15</v>
      </c>
      <c r="C120" t="s">
        <v>11</v>
      </c>
      <c r="D120" t="s">
        <v>47</v>
      </c>
      <c r="E120" t="s">
        <v>13</v>
      </c>
      <c r="F120">
        <v>78</v>
      </c>
      <c r="G120" t="s">
        <v>436</v>
      </c>
      <c r="H120">
        <v>9102</v>
      </c>
      <c r="I120" t="s">
        <v>441</v>
      </c>
      <c r="J120">
        <v>5</v>
      </c>
      <c r="K120">
        <v>55</v>
      </c>
    </row>
    <row r="121" spans="1:11" x14ac:dyDescent="0.35">
      <c r="A121" t="s">
        <v>152</v>
      </c>
      <c r="B121" t="s">
        <v>22</v>
      </c>
      <c r="C121" t="s">
        <v>11</v>
      </c>
      <c r="D121" t="s">
        <v>27</v>
      </c>
      <c r="E121" t="s">
        <v>13</v>
      </c>
      <c r="F121">
        <v>23</v>
      </c>
      <c r="G121" t="s">
        <v>439</v>
      </c>
      <c r="H121">
        <v>12708</v>
      </c>
      <c r="I121" t="s">
        <v>441</v>
      </c>
      <c r="J121">
        <v>13</v>
      </c>
      <c r="K121">
        <v>91</v>
      </c>
    </row>
    <row r="122" spans="1:11" x14ac:dyDescent="0.35">
      <c r="A122" t="s">
        <v>153</v>
      </c>
      <c r="B122" t="s">
        <v>25</v>
      </c>
      <c r="C122" t="s">
        <v>26</v>
      </c>
      <c r="D122" t="s">
        <v>42</v>
      </c>
      <c r="E122" t="s">
        <v>37</v>
      </c>
      <c r="F122">
        <v>56</v>
      </c>
      <c r="G122" t="s">
        <v>438</v>
      </c>
      <c r="H122">
        <v>6200</v>
      </c>
      <c r="I122" t="s">
        <v>442</v>
      </c>
      <c r="J122">
        <v>9</v>
      </c>
      <c r="K122">
        <v>55</v>
      </c>
    </row>
    <row r="123" spans="1:11" x14ac:dyDescent="0.35">
      <c r="A123" t="s">
        <v>154</v>
      </c>
      <c r="B123" t="s">
        <v>25</v>
      </c>
      <c r="C123" t="s">
        <v>26</v>
      </c>
      <c r="D123" t="s">
        <v>47</v>
      </c>
      <c r="E123" t="s">
        <v>17</v>
      </c>
      <c r="F123">
        <v>86</v>
      </c>
      <c r="G123" t="s">
        <v>436</v>
      </c>
      <c r="H123">
        <v>1856</v>
      </c>
      <c r="I123" t="s">
        <v>442</v>
      </c>
      <c r="J123">
        <v>4</v>
      </c>
      <c r="K123">
        <v>71</v>
      </c>
    </row>
    <row r="124" spans="1:11" x14ac:dyDescent="0.35">
      <c r="A124" t="s">
        <v>155</v>
      </c>
      <c r="B124" t="s">
        <v>25</v>
      </c>
      <c r="C124" t="s">
        <v>23</v>
      </c>
      <c r="D124" t="s">
        <v>27</v>
      </c>
      <c r="E124" t="s">
        <v>13</v>
      </c>
      <c r="F124">
        <v>52</v>
      </c>
      <c r="G124" t="s">
        <v>438</v>
      </c>
      <c r="H124">
        <v>1866</v>
      </c>
      <c r="I124" t="s">
        <v>442</v>
      </c>
      <c r="J124">
        <v>3</v>
      </c>
      <c r="K124">
        <v>52</v>
      </c>
    </row>
    <row r="125" spans="1:11" x14ac:dyDescent="0.35">
      <c r="A125" t="s">
        <v>156</v>
      </c>
      <c r="B125" t="s">
        <v>25</v>
      </c>
      <c r="C125" t="s">
        <v>11</v>
      </c>
      <c r="D125" t="s">
        <v>29</v>
      </c>
      <c r="E125" t="s">
        <v>17</v>
      </c>
      <c r="F125">
        <v>15</v>
      </c>
      <c r="G125" t="s">
        <v>440</v>
      </c>
      <c r="H125">
        <v>17657</v>
      </c>
      <c r="I125" t="s">
        <v>441</v>
      </c>
      <c r="J125">
        <v>11</v>
      </c>
      <c r="K125">
        <v>82</v>
      </c>
    </row>
    <row r="126" spans="1:11" x14ac:dyDescent="0.35">
      <c r="A126" t="s">
        <v>157</v>
      </c>
      <c r="B126" t="s">
        <v>49</v>
      </c>
      <c r="C126" t="s">
        <v>11</v>
      </c>
      <c r="D126" t="s">
        <v>20</v>
      </c>
      <c r="E126" t="s">
        <v>17</v>
      </c>
      <c r="F126">
        <v>7</v>
      </c>
      <c r="G126" t="s">
        <v>437</v>
      </c>
      <c r="H126">
        <v>8073</v>
      </c>
      <c r="I126" t="s">
        <v>441</v>
      </c>
      <c r="J126">
        <v>13</v>
      </c>
      <c r="K126">
        <v>73</v>
      </c>
    </row>
    <row r="127" spans="1:11" x14ac:dyDescent="0.35">
      <c r="A127" t="s">
        <v>158</v>
      </c>
      <c r="B127" t="s">
        <v>19</v>
      </c>
      <c r="C127" t="s">
        <v>23</v>
      </c>
      <c r="D127" t="s">
        <v>34</v>
      </c>
      <c r="E127" t="s">
        <v>13</v>
      </c>
      <c r="F127">
        <v>27</v>
      </c>
      <c r="G127" t="s">
        <v>439</v>
      </c>
      <c r="H127">
        <v>746</v>
      </c>
      <c r="I127" t="s">
        <v>442</v>
      </c>
      <c r="J127">
        <v>3</v>
      </c>
      <c r="K127">
        <v>58</v>
      </c>
    </row>
    <row r="128" spans="1:11" x14ac:dyDescent="0.35">
      <c r="A128" t="s">
        <v>159</v>
      </c>
      <c r="B128" t="s">
        <v>44</v>
      </c>
      <c r="C128" t="s">
        <v>23</v>
      </c>
      <c r="D128" t="s">
        <v>34</v>
      </c>
      <c r="E128" t="s">
        <v>17</v>
      </c>
      <c r="F128">
        <v>81</v>
      </c>
      <c r="G128" t="s">
        <v>436</v>
      </c>
      <c r="H128">
        <v>1446</v>
      </c>
      <c r="I128" t="s">
        <v>442</v>
      </c>
      <c r="J128">
        <v>1</v>
      </c>
      <c r="K128">
        <v>95</v>
      </c>
    </row>
    <row r="129" spans="1:11" x14ac:dyDescent="0.35">
      <c r="A129" t="s">
        <v>160</v>
      </c>
      <c r="B129" t="s">
        <v>22</v>
      </c>
      <c r="C129" t="s">
        <v>26</v>
      </c>
      <c r="D129" t="s">
        <v>20</v>
      </c>
      <c r="E129" t="s">
        <v>17</v>
      </c>
      <c r="F129">
        <v>53</v>
      </c>
      <c r="G129" t="s">
        <v>438</v>
      </c>
      <c r="H129">
        <v>1763</v>
      </c>
      <c r="I129" t="s">
        <v>442</v>
      </c>
      <c r="J129">
        <v>5</v>
      </c>
      <c r="K129">
        <v>57</v>
      </c>
    </row>
    <row r="130" spans="1:11" x14ac:dyDescent="0.35">
      <c r="A130" t="s">
        <v>161</v>
      </c>
      <c r="B130" t="s">
        <v>25</v>
      </c>
      <c r="C130" t="s">
        <v>11</v>
      </c>
      <c r="D130" t="s">
        <v>42</v>
      </c>
      <c r="E130" t="s">
        <v>13</v>
      </c>
      <c r="F130">
        <v>38</v>
      </c>
      <c r="G130" t="s">
        <v>434</v>
      </c>
      <c r="H130">
        <v>13337</v>
      </c>
      <c r="I130" t="s">
        <v>441</v>
      </c>
      <c r="J130">
        <v>9</v>
      </c>
      <c r="K130">
        <v>76</v>
      </c>
    </row>
    <row r="131" spans="1:11" x14ac:dyDescent="0.35">
      <c r="A131" t="s">
        <v>162</v>
      </c>
      <c r="B131" t="s">
        <v>49</v>
      </c>
      <c r="C131" t="s">
        <v>23</v>
      </c>
      <c r="D131" t="s">
        <v>34</v>
      </c>
      <c r="E131" t="s">
        <v>17</v>
      </c>
      <c r="F131">
        <v>71</v>
      </c>
      <c r="G131" t="s">
        <v>436</v>
      </c>
      <c r="H131">
        <v>496</v>
      </c>
      <c r="I131" t="s">
        <v>442</v>
      </c>
      <c r="J131">
        <v>2</v>
      </c>
      <c r="K131">
        <v>62</v>
      </c>
    </row>
    <row r="132" spans="1:11" x14ac:dyDescent="0.35">
      <c r="A132" t="s">
        <v>163</v>
      </c>
      <c r="B132" t="s">
        <v>19</v>
      </c>
      <c r="C132" t="s">
        <v>40</v>
      </c>
      <c r="D132" t="s">
        <v>31</v>
      </c>
      <c r="E132" t="s">
        <v>17</v>
      </c>
      <c r="F132">
        <v>54</v>
      </c>
      <c r="G132" t="s">
        <v>438</v>
      </c>
      <c r="H132">
        <v>3284</v>
      </c>
      <c r="I132" t="s">
        <v>442</v>
      </c>
      <c r="J132">
        <v>5</v>
      </c>
      <c r="K132">
        <v>67</v>
      </c>
    </row>
    <row r="133" spans="1:11" x14ac:dyDescent="0.35">
      <c r="A133" t="s">
        <v>164</v>
      </c>
      <c r="B133" t="s">
        <v>49</v>
      </c>
      <c r="C133" t="s">
        <v>11</v>
      </c>
      <c r="D133" t="s">
        <v>27</v>
      </c>
      <c r="E133" t="s">
        <v>13</v>
      </c>
      <c r="F133">
        <v>76</v>
      </c>
      <c r="G133" t="s">
        <v>436</v>
      </c>
      <c r="H133">
        <v>14501</v>
      </c>
      <c r="I133" t="s">
        <v>441</v>
      </c>
      <c r="J133">
        <v>15</v>
      </c>
      <c r="K133">
        <v>81</v>
      </c>
    </row>
    <row r="134" spans="1:11" x14ac:dyDescent="0.35">
      <c r="A134" t="s">
        <v>165</v>
      </c>
      <c r="B134" t="s">
        <v>49</v>
      </c>
      <c r="C134" t="s">
        <v>40</v>
      </c>
      <c r="D134" t="s">
        <v>34</v>
      </c>
      <c r="E134" t="s">
        <v>13</v>
      </c>
      <c r="F134">
        <v>45</v>
      </c>
      <c r="G134" t="s">
        <v>438</v>
      </c>
      <c r="H134">
        <v>3223</v>
      </c>
      <c r="I134" t="s">
        <v>442</v>
      </c>
      <c r="J134">
        <v>5</v>
      </c>
      <c r="K134">
        <v>98</v>
      </c>
    </row>
    <row r="135" spans="1:11" x14ac:dyDescent="0.35">
      <c r="A135" t="s">
        <v>166</v>
      </c>
      <c r="B135" t="s">
        <v>19</v>
      </c>
      <c r="C135" t="s">
        <v>23</v>
      </c>
      <c r="D135" t="s">
        <v>34</v>
      </c>
      <c r="E135" t="s">
        <v>13</v>
      </c>
      <c r="F135">
        <v>25</v>
      </c>
      <c r="G135" t="s">
        <v>439</v>
      </c>
      <c r="H135">
        <v>1628</v>
      </c>
      <c r="I135" t="s">
        <v>442</v>
      </c>
      <c r="J135">
        <v>1</v>
      </c>
      <c r="K135">
        <v>86</v>
      </c>
    </row>
    <row r="136" spans="1:11" x14ac:dyDescent="0.35">
      <c r="A136" t="s">
        <v>167</v>
      </c>
      <c r="B136" t="s">
        <v>25</v>
      </c>
      <c r="C136" t="s">
        <v>40</v>
      </c>
      <c r="D136" t="s">
        <v>47</v>
      </c>
      <c r="E136" t="s">
        <v>17</v>
      </c>
      <c r="F136">
        <v>61</v>
      </c>
      <c r="G136" t="s">
        <v>436</v>
      </c>
      <c r="H136">
        <v>3623</v>
      </c>
      <c r="I136" t="s">
        <v>442</v>
      </c>
      <c r="J136">
        <v>4</v>
      </c>
      <c r="K136">
        <v>92</v>
      </c>
    </row>
    <row r="137" spans="1:11" x14ac:dyDescent="0.35">
      <c r="A137" t="s">
        <v>168</v>
      </c>
      <c r="B137" t="s">
        <v>49</v>
      </c>
      <c r="C137" t="s">
        <v>40</v>
      </c>
      <c r="D137" t="s">
        <v>34</v>
      </c>
      <c r="E137" t="s">
        <v>13</v>
      </c>
      <c r="F137">
        <v>17</v>
      </c>
      <c r="G137" t="s">
        <v>440</v>
      </c>
      <c r="H137">
        <v>4614</v>
      </c>
      <c r="I137" t="s">
        <v>442</v>
      </c>
      <c r="J137">
        <v>5</v>
      </c>
      <c r="K137">
        <v>71</v>
      </c>
    </row>
    <row r="138" spans="1:11" x14ac:dyDescent="0.35">
      <c r="A138" t="s">
        <v>169</v>
      </c>
      <c r="B138" t="s">
        <v>49</v>
      </c>
      <c r="C138" t="s">
        <v>11</v>
      </c>
      <c r="D138" t="s">
        <v>34</v>
      </c>
      <c r="E138" t="s">
        <v>17</v>
      </c>
      <c r="F138">
        <v>59</v>
      </c>
      <c r="G138" t="s">
        <v>438</v>
      </c>
      <c r="H138">
        <v>5251</v>
      </c>
      <c r="I138" t="s">
        <v>442</v>
      </c>
      <c r="J138">
        <v>7</v>
      </c>
      <c r="K138">
        <v>76</v>
      </c>
    </row>
    <row r="139" spans="1:11" x14ac:dyDescent="0.35">
      <c r="A139" t="s">
        <v>170</v>
      </c>
      <c r="B139" t="s">
        <v>49</v>
      </c>
      <c r="C139" t="s">
        <v>40</v>
      </c>
      <c r="D139" t="s">
        <v>31</v>
      </c>
      <c r="E139" t="s">
        <v>17</v>
      </c>
      <c r="F139">
        <v>34</v>
      </c>
      <c r="G139" t="s">
        <v>434</v>
      </c>
      <c r="H139">
        <v>3273</v>
      </c>
      <c r="I139" t="s">
        <v>442</v>
      </c>
      <c r="J139">
        <v>5</v>
      </c>
      <c r="K139">
        <v>94</v>
      </c>
    </row>
    <row r="140" spans="1:11" x14ac:dyDescent="0.35">
      <c r="A140" t="s">
        <v>171</v>
      </c>
      <c r="B140" t="s">
        <v>25</v>
      </c>
      <c r="C140" t="s">
        <v>11</v>
      </c>
      <c r="D140" t="s">
        <v>29</v>
      </c>
      <c r="E140" t="s">
        <v>13</v>
      </c>
      <c r="F140">
        <v>69</v>
      </c>
      <c r="G140" t="s">
        <v>436</v>
      </c>
      <c r="H140">
        <v>11226</v>
      </c>
      <c r="I140" t="s">
        <v>441</v>
      </c>
      <c r="J140">
        <v>10</v>
      </c>
      <c r="K140">
        <v>90</v>
      </c>
    </row>
    <row r="141" spans="1:11" x14ac:dyDescent="0.35">
      <c r="A141" t="s">
        <v>172</v>
      </c>
      <c r="B141" t="s">
        <v>10</v>
      </c>
      <c r="C141" t="s">
        <v>23</v>
      </c>
      <c r="D141" t="s">
        <v>20</v>
      </c>
      <c r="E141" t="s">
        <v>17</v>
      </c>
      <c r="F141">
        <v>9</v>
      </c>
      <c r="G141" t="s">
        <v>437</v>
      </c>
      <c r="H141">
        <v>680</v>
      </c>
      <c r="I141" t="s">
        <v>442</v>
      </c>
      <c r="J141">
        <v>3</v>
      </c>
      <c r="K141">
        <v>93</v>
      </c>
    </row>
    <row r="142" spans="1:11" x14ac:dyDescent="0.35">
      <c r="A142" t="s">
        <v>173</v>
      </c>
      <c r="B142" t="s">
        <v>44</v>
      </c>
      <c r="C142" t="s">
        <v>40</v>
      </c>
      <c r="D142" t="s">
        <v>31</v>
      </c>
      <c r="E142" t="s">
        <v>17</v>
      </c>
      <c r="F142">
        <v>13</v>
      </c>
      <c r="G142" t="s">
        <v>440</v>
      </c>
      <c r="H142">
        <v>1323</v>
      </c>
      <c r="I142" t="s">
        <v>442</v>
      </c>
      <c r="J142">
        <v>4</v>
      </c>
      <c r="K142">
        <v>60</v>
      </c>
    </row>
    <row r="143" spans="1:11" x14ac:dyDescent="0.35">
      <c r="A143" t="s">
        <v>174</v>
      </c>
      <c r="B143" t="s">
        <v>10</v>
      </c>
      <c r="C143" t="s">
        <v>26</v>
      </c>
      <c r="D143" t="s">
        <v>12</v>
      </c>
      <c r="E143" t="s">
        <v>17</v>
      </c>
      <c r="F143">
        <v>8</v>
      </c>
      <c r="G143" t="s">
        <v>437</v>
      </c>
      <c r="H143">
        <v>3403</v>
      </c>
      <c r="I143" t="s">
        <v>442</v>
      </c>
      <c r="J143">
        <v>7</v>
      </c>
      <c r="K143">
        <v>73</v>
      </c>
    </row>
    <row r="144" spans="1:11" x14ac:dyDescent="0.35">
      <c r="A144" t="s">
        <v>175</v>
      </c>
      <c r="B144" t="s">
        <v>25</v>
      </c>
      <c r="C144" t="s">
        <v>40</v>
      </c>
      <c r="D144" t="s">
        <v>60</v>
      </c>
      <c r="E144" t="s">
        <v>13</v>
      </c>
      <c r="F144">
        <v>73</v>
      </c>
      <c r="G144" t="s">
        <v>436</v>
      </c>
      <c r="H144">
        <v>1975</v>
      </c>
      <c r="I144" t="s">
        <v>442</v>
      </c>
      <c r="J144">
        <v>2</v>
      </c>
      <c r="K144">
        <v>61</v>
      </c>
    </row>
    <row r="145" spans="1:11" x14ac:dyDescent="0.35">
      <c r="A145" t="s">
        <v>176</v>
      </c>
      <c r="B145" t="s">
        <v>15</v>
      </c>
      <c r="C145" t="s">
        <v>23</v>
      </c>
      <c r="D145" t="s">
        <v>16</v>
      </c>
      <c r="E145" t="s">
        <v>13</v>
      </c>
      <c r="F145">
        <v>64</v>
      </c>
      <c r="G145" t="s">
        <v>436</v>
      </c>
      <c r="H145">
        <v>1394</v>
      </c>
      <c r="I145" t="s">
        <v>442</v>
      </c>
      <c r="J145">
        <v>1</v>
      </c>
      <c r="K145">
        <v>64</v>
      </c>
    </row>
    <row r="146" spans="1:11" x14ac:dyDescent="0.35">
      <c r="A146" t="s">
        <v>177</v>
      </c>
      <c r="B146" t="s">
        <v>25</v>
      </c>
      <c r="C146" t="s">
        <v>26</v>
      </c>
      <c r="D146" t="s">
        <v>34</v>
      </c>
      <c r="E146" t="s">
        <v>17</v>
      </c>
      <c r="F146">
        <v>2</v>
      </c>
      <c r="G146" t="s">
        <v>435</v>
      </c>
      <c r="H146">
        <v>4811</v>
      </c>
      <c r="I146" t="s">
        <v>442</v>
      </c>
      <c r="J146">
        <v>6</v>
      </c>
      <c r="K146">
        <v>93</v>
      </c>
    </row>
    <row r="147" spans="1:11" x14ac:dyDescent="0.35">
      <c r="A147" t="s">
        <v>178</v>
      </c>
      <c r="B147" t="s">
        <v>19</v>
      </c>
      <c r="C147" t="s">
        <v>40</v>
      </c>
      <c r="D147" t="s">
        <v>31</v>
      </c>
      <c r="E147" t="s">
        <v>17</v>
      </c>
      <c r="F147">
        <v>45</v>
      </c>
      <c r="G147" t="s">
        <v>438</v>
      </c>
      <c r="H147">
        <v>2950</v>
      </c>
      <c r="I147" t="s">
        <v>442</v>
      </c>
      <c r="J147">
        <v>4</v>
      </c>
      <c r="K147">
        <v>94</v>
      </c>
    </row>
    <row r="148" spans="1:11" x14ac:dyDescent="0.35">
      <c r="A148" t="s">
        <v>179</v>
      </c>
      <c r="B148" t="s">
        <v>44</v>
      </c>
      <c r="C148" t="s">
        <v>23</v>
      </c>
      <c r="D148" t="s">
        <v>27</v>
      </c>
      <c r="E148" t="s">
        <v>17</v>
      </c>
      <c r="F148">
        <v>50</v>
      </c>
      <c r="G148" t="s">
        <v>438</v>
      </c>
      <c r="H148">
        <v>1947</v>
      </c>
      <c r="I148" t="s">
        <v>442</v>
      </c>
      <c r="J148">
        <v>2</v>
      </c>
      <c r="K148">
        <v>56</v>
      </c>
    </row>
    <row r="149" spans="1:11" x14ac:dyDescent="0.35">
      <c r="A149" t="s">
        <v>180</v>
      </c>
      <c r="B149" t="s">
        <v>22</v>
      </c>
      <c r="C149" t="s">
        <v>23</v>
      </c>
      <c r="D149" t="s">
        <v>16</v>
      </c>
      <c r="E149" t="s">
        <v>17</v>
      </c>
      <c r="F149">
        <v>38</v>
      </c>
      <c r="G149" t="s">
        <v>434</v>
      </c>
      <c r="H149">
        <v>1632</v>
      </c>
      <c r="I149" t="s">
        <v>442</v>
      </c>
      <c r="J149">
        <v>2</v>
      </c>
      <c r="K149">
        <v>51</v>
      </c>
    </row>
    <row r="150" spans="1:11" x14ac:dyDescent="0.35">
      <c r="A150" t="s">
        <v>181</v>
      </c>
      <c r="B150" t="s">
        <v>49</v>
      </c>
      <c r="C150" t="s">
        <v>23</v>
      </c>
      <c r="D150" t="s">
        <v>27</v>
      </c>
      <c r="E150" t="s">
        <v>17</v>
      </c>
      <c r="F150">
        <v>88</v>
      </c>
      <c r="G150" t="s">
        <v>436</v>
      </c>
      <c r="H150">
        <v>1793</v>
      </c>
      <c r="I150" t="s">
        <v>442</v>
      </c>
      <c r="J150">
        <v>3</v>
      </c>
      <c r="K150">
        <v>53</v>
      </c>
    </row>
    <row r="151" spans="1:11" x14ac:dyDescent="0.35">
      <c r="A151" t="s">
        <v>182</v>
      </c>
      <c r="B151" t="s">
        <v>19</v>
      </c>
      <c r="C151" t="s">
        <v>23</v>
      </c>
      <c r="D151" t="s">
        <v>27</v>
      </c>
      <c r="E151" t="s">
        <v>13</v>
      </c>
      <c r="F151">
        <v>30</v>
      </c>
      <c r="G151" t="s">
        <v>434</v>
      </c>
      <c r="H151">
        <v>1443</v>
      </c>
      <c r="I151" t="s">
        <v>442</v>
      </c>
      <c r="J151">
        <v>2</v>
      </c>
      <c r="K151">
        <v>64</v>
      </c>
    </row>
    <row r="152" spans="1:11" x14ac:dyDescent="0.35">
      <c r="A152" t="s">
        <v>183</v>
      </c>
      <c r="B152" t="s">
        <v>10</v>
      </c>
      <c r="C152" t="s">
        <v>40</v>
      </c>
      <c r="D152" t="s">
        <v>16</v>
      </c>
      <c r="E152" t="s">
        <v>17</v>
      </c>
      <c r="F152">
        <v>85</v>
      </c>
      <c r="G152" t="s">
        <v>436</v>
      </c>
      <c r="H152">
        <v>1620</v>
      </c>
      <c r="I152" t="s">
        <v>442</v>
      </c>
      <c r="J152">
        <v>1</v>
      </c>
      <c r="K152">
        <v>90</v>
      </c>
    </row>
    <row r="153" spans="1:11" x14ac:dyDescent="0.35">
      <c r="A153" t="s">
        <v>184</v>
      </c>
      <c r="B153" t="s">
        <v>10</v>
      </c>
      <c r="C153" t="s">
        <v>11</v>
      </c>
      <c r="D153" t="s">
        <v>27</v>
      </c>
      <c r="E153" t="s">
        <v>13</v>
      </c>
      <c r="F153">
        <v>5</v>
      </c>
      <c r="G153" t="s">
        <v>435</v>
      </c>
      <c r="H153">
        <v>14495</v>
      </c>
      <c r="I153" t="s">
        <v>441</v>
      </c>
      <c r="J153">
        <v>10</v>
      </c>
      <c r="K153">
        <v>96</v>
      </c>
    </row>
    <row r="154" spans="1:11" x14ac:dyDescent="0.35">
      <c r="A154" t="s">
        <v>185</v>
      </c>
      <c r="B154" t="s">
        <v>22</v>
      </c>
      <c r="C154" t="s">
        <v>11</v>
      </c>
      <c r="D154" t="s">
        <v>27</v>
      </c>
      <c r="E154" t="s">
        <v>17</v>
      </c>
      <c r="F154">
        <v>54</v>
      </c>
      <c r="G154" t="s">
        <v>438</v>
      </c>
      <c r="H154">
        <v>7877</v>
      </c>
      <c r="I154" t="s">
        <v>441</v>
      </c>
      <c r="J154">
        <v>8</v>
      </c>
      <c r="K154">
        <v>58</v>
      </c>
    </row>
    <row r="155" spans="1:11" x14ac:dyDescent="0.35">
      <c r="A155" t="s">
        <v>186</v>
      </c>
      <c r="B155" t="s">
        <v>49</v>
      </c>
      <c r="C155" t="s">
        <v>26</v>
      </c>
      <c r="D155" t="s">
        <v>20</v>
      </c>
      <c r="E155" t="s">
        <v>13</v>
      </c>
      <c r="F155">
        <v>35</v>
      </c>
      <c r="G155" t="s">
        <v>434</v>
      </c>
      <c r="H155">
        <v>2347</v>
      </c>
      <c r="I155" t="s">
        <v>442</v>
      </c>
      <c r="J155">
        <v>6</v>
      </c>
      <c r="K155">
        <v>80</v>
      </c>
    </row>
    <row r="156" spans="1:11" x14ac:dyDescent="0.35">
      <c r="A156" t="s">
        <v>187</v>
      </c>
      <c r="B156" t="s">
        <v>49</v>
      </c>
      <c r="C156" t="s">
        <v>26</v>
      </c>
      <c r="D156" t="s">
        <v>29</v>
      </c>
      <c r="E156" t="s">
        <v>13</v>
      </c>
      <c r="F156">
        <v>60</v>
      </c>
      <c r="G156" t="s">
        <v>438</v>
      </c>
      <c r="H156">
        <v>1616</v>
      </c>
      <c r="I156" t="s">
        <v>442</v>
      </c>
      <c r="J156">
        <v>4</v>
      </c>
      <c r="K156">
        <v>98</v>
      </c>
    </row>
    <row r="157" spans="1:11" x14ac:dyDescent="0.35">
      <c r="A157" t="s">
        <v>188</v>
      </c>
      <c r="B157" t="s">
        <v>22</v>
      </c>
      <c r="C157" t="s">
        <v>23</v>
      </c>
      <c r="D157" t="s">
        <v>20</v>
      </c>
      <c r="E157" t="s">
        <v>17</v>
      </c>
      <c r="F157">
        <v>51</v>
      </c>
      <c r="G157" t="s">
        <v>438</v>
      </c>
      <c r="H157">
        <v>228</v>
      </c>
      <c r="I157" t="s">
        <v>442</v>
      </c>
      <c r="J157">
        <v>2</v>
      </c>
      <c r="K157">
        <v>84</v>
      </c>
    </row>
    <row r="158" spans="1:11" x14ac:dyDescent="0.35">
      <c r="A158" t="s">
        <v>189</v>
      </c>
      <c r="B158" t="s">
        <v>15</v>
      </c>
      <c r="C158" t="s">
        <v>23</v>
      </c>
      <c r="D158" t="s">
        <v>29</v>
      </c>
      <c r="E158" t="s">
        <v>13</v>
      </c>
      <c r="F158">
        <v>87</v>
      </c>
      <c r="G158" t="s">
        <v>436</v>
      </c>
      <c r="H158">
        <v>736</v>
      </c>
      <c r="I158" t="s">
        <v>442</v>
      </c>
      <c r="J158">
        <v>3</v>
      </c>
      <c r="K158">
        <v>74</v>
      </c>
    </row>
    <row r="159" spans="1:11" x14ac:dyDescent="0.35">
      <c r="A159" t="s">
        <v>190</v>
      </c>
      <c r="B159" t="s">
        <v>49</v>
      </c>
      <c r="C159" t="s">
        <v>26</v>
      </c>
      <c r="D159" t="s">
        <v>31</v>
      </c>
      <c r="E159" t="s">
        <v>13</v>
      </c>
      <c r="F159">
        <v>61</v>
      </c>
      <c r="G159" t="s">
        <v>436</v>
      </c>
      <c r="H159">
        <v>1205</v>
      </c>
      <c r="I159" t="s">
        <v>442</v>
      </c>
      <c r="J159">
        <v>10</v>
      </c>
      <c r="K159">
        <v>70</v>
      </c>
    </row>
    <row r="160" spans="1:11" x14ac:dyDescent="0.35">
      <c r="A160" t="s">
        <v>191</v>
      </c>
      <c r="B160" t="s">
        <v>19</v>
      </c>
      <c r="C160" t="s">
        <v>40</v>
      </c>
      <c r="D160" t="s">
        <v>31</v>
      </c>
      <c r="E160" t="s">
        <v>13</v>
      </c>
      <c r="F160">
        <v>60</v>
      </c>
      <c r="G160" t="s">
        <v>438</v>
      </c>
      <c r="H160">
        <v>2975</v>
      </c>
      <c r="I160" t="s">
        <v>442</v>
      </c>
      <c r="J160">
        <v>4</v>
      </c>
      <c r="K160">
        <v>57</v>
      </c>
    </row>
    <row r="161" spans="1:11" x14ac:dyDescent="0.35">
      <c r="A161" t="s">
        <v>192</v>
      </c>
      <c r="B161" t="s">
        <v>22</v>
      </c>
      <c r="C161" t="s">
        <v>11</v>
      </c>
      <c r="D161" t="s">
        <v>12</v>
      </c>
      <c r="E161" t="s">
        <v>17</v>
      </c>
      <c r="F161">
        <v>64</v>
      </c>
      <c r="G161" t="s">
        <v>436</v>
      </c>
      <c r="H161">
        <v>6902</v>
      </c>
      <c r="I161" t="s">
        <v>442</v>
      </c>
      <c r="J161">
        <v>6</v>
      </c>
      <c r="K161">
        <v>65</v>
      </c>
    </row>
    <row r="162" spans="1:11" x14ac:dyDescent="0.35">
      <c r="A162" t="s">
        <v>193</v>
      </c>
      <c r="B162" t="s">
        <v>19</v>
      </c>
      <c r="C162" t="s">
        <v>40</v>
      </c>
      <c r="D162" t="s">
        <v>47</v>
      </c>
      <c r="E162" t="s">
        <v>17</v>
      </c>
      <c r="F162">
        <v>86</v>
      </c>
      <c r="G162" t="s">
        <v>436</v>
      </c>
      <c r="H162">
        <v>4925</v>
      </c>
      <c r="I162" t="s">
        <v>442</v>
      </c>
      <c r="J162">
        <v>4</v>
      </c>
      <c r="K162">
        <v>87</v>
      </c>
    </row>
    <row r="163" spans="1:11" x14ac:dyDescent="0.35">
      <c r="A163" t="s">
        <v>194</v>
      </c>
      <c r="B163" t="s">
        <v>10</v>
      </c>
      <c r="C163" t="s">
        <v>40</v>
      </c>
      <c r="D163" t="s">
        <v>47</v>
      </c>
      <c r="E163" t="s">
        <v>13</v>
      </c>
      <c r="F163">
        <v>63</v>
      </c>
      <c r="G163" t="s">
        <v>436</v>
      </c>
      <c r="H163">
        <v>3843</v>
      </c>
      <c r="I163" t="s">
        <v>442</v>
      </c>
      <c r="J163">
        <v>3</v>
      </c>
      <c r="K163">
        <v>52</v>
      </c>
    </row>
    <row r="164" spans="1:11" x14ac:dyDescent="0.35">
      <c r="A164" t="s">
        <v>195</v>
      </c>
      <c r="B164" t="s">
        <v>10</v>
      </c>
      <c r="C164" t="s">
        <v>26</v>
      </c>
      <c r="D164" t="s">
        <v>60</v>
      </c>
      <c r="E164" t="s">
        <v>17</v>
      </c>
      <c r="F164">
        <v>31</v>
      </c>
      <c r="G164" t="s">
        <v>434</v>
      </c>
      <c r="H164">
        <v>3971</v>
      </c>
      <c r="I164" t="s">
        <v>442</v>
      </c>
      <c r="J164">
        <v>3</v>
      </c>
      <c r="K164">
        <v>93</v>
      </c>
    </row>
    <row r="165" spans="1:11" x14ac:dyDescent="0.35">
      <c r="A165" t="s">
        <v>196</v>
      </c>
      <c r="B165" t="s">
        <v>44</v>
      </c>
      <c r="C165" t="s">
        <v>26</v>
      </c>
      <c r="D165" t="s">
        <v>12</v>
      </c>
      <c r="E165" t="s">
        <v>17</v>
      </c>
      <c r="F165">
        <v>25</v>
      </c>
      <c r="G165" t="s">
        <v>439</v>
      </c>
      <c r="H165">
        <v>2000</v>
      </c>
      <c r="I165" t="s">
        <v>442</v>
      </c>
      <c r="J165">
        <v>9</v>
      </c>
      <c r="K165">
        <v>55</v>
      </c>
    </row>
    <row r="166" spans="1:11" x14ac:dyDescent="0.35">
      <c r="A166" t="s">
        <v>197</v>
      </c>
      <c r="B166" t="s">
        <v>10</v>
      </c>
      <c r="C166" t="s">
        <v>40</v>
      </c>
      <c r="D166" t="s">
        <v>16</v>
      </c>
      <c r="E166" t="s">
        <v>13</v>
      </c>
      <c r="F166">
        <v>7</v>
      </c>
      <c r="G166" t="s">
        <v>437</v>
      </c>
      <c r="H166">
        <v>3232</v>
      </c>
      <c r="I166" t="s">
        <v>442</v>
      </c>
      <c r="J166">
        <v>2</v>
      </c>
      <c r="K166">
        <v>58</v>
      </c>
    </row>
    <row r="167" spans="1:11" x14ac:dyDescent="0.35">
      <c r="A167" t="s">
        <v>198</v>
      </c>
      <c r="B167" t="s">
        <v>49</v>
      </c>
      <c r="C167" t="s">
        <v>40</v>
      </c>
      <c r="D167" t="s">
        <v>31</v>
      </c>
      <c r="E167" t="s">
        <v>13</v>
      </c>
      <c r="F167">
        <v>71</v>
      </c>
      <c r="G167" t="s">
        <v>436</v>
      </c>
      <c r="H167">
        <v>2197</v>
      </c>
      <c r="I167" t="s">
        <v>442</v>
      </c>
      <c r="J167">
        <v>5</v>
      </c>
      <c r="K167">
        <v>63</v>
      </c>
    </row>
    <row r="168" spans="1:11" x14ac:dyDescent="0.35">
      <c r="A168" t="s">
        <v>199</v>
      </c>
      <c r="B168" t="s">
        <v>49</v>
      </c>
      <c r="C168" t="s">
        <v>40</v>
      </c>
      <c r="D168" t="s">
        <v>29</v>
      </c>
      <c r="E168" t="s">
        <v>13</v>
      </c>
      <c r="F168">
        <v>77</v>
      </c>
      <c r="G168" t="s">
        <v>436</v>
      </c>
      <c r="H168">
        <v>523</v>
      </c>
      <c r="I168" t="s">
        <v>442</v>
      </c>
      <c r="J168">
        <v>3</v>
      </c>
      <c r="K168">
        <v>59</v>
      </c>
    </row>
    <row r="169" spans="1:11" x14ac:dyDescent="0.35">
      <c r="A169" t="s">
        <v>200</v>
      </c>
      <c r="B169" t="s">
        <v>22</v>
      </c>
      <c r="C169" t="s">
        <v>26</v>
      </c>
      <c r="D169" t="s">
        <v>42</v>
      </c>
      <c r="E169" t="s">
        <v>17</v>
      </c>
      <c r="F169">
        <v>4</v>
      </c>
      <c r="G169" t="s">
        <v>435</v>
      </c>
      <c r="H169">
        <v>2079</v>
      </c>
      <c r="I169" t="s">
        <v>442</v>
      </c>
      <c r="J169">
        <v>2</v>
      </c>
      <c r="K169">
        <v>72</v>
      </c>
    </row>
    <row r="170" spans="1:11" x14ac:dyDescent="0.35">
      <c r="A170" t="s">
        <v>201</v>
      </c>
      <c r="B170" t="s">
        <v>49</v>
      </c>
      <c r="C170" t="s">
        <v>40</v>
      </c>
      <c r="D170" t="s">
        <v>16</v>
      </c>
      <c r="E170" t="s">
        <v>17</v>
      </c>
      <c r="F170">
        <v>23</v>
      </c>
      <c r="G170" t="s">
        <v>439</v>
      </c>
      <c r="H170">
        <v>2673</v>
      </c>
      <c r="I170" t="s">
        <v>442</v>
      </c>
      <c r="J170">
        <v>1</v>
      </c>
      <c r="K170">
        <v>58</v>
      </c>
    </row>
    <row r="171" spans="1:11" x14ac:dyDescent="0.35">
      <c r="A171" t="s">
        <v>202</v>
      </c>
      <c r="B171" t="s">
        <v>10</v>
      </c>
      <c r="C171" t="s">
        <v>23</v>
      </c>
      <c r="D171" t="s">
        <v>20</v>
      </c>
      <c r="E171" t="s">
        <v>17</v>
      </c>
      <c r="F171">
        <v>9</v>
      </c>
      <c r="G171" t="s">
        <v>437</v>
      </c>
      <c r="H171">
        <v>1175</v>
      </c>
      <c r="I171" t="s">
        <v>442</v>
      </c>
      <c r="J171">
        <v>2</v>
      </c>
      <c r="K171">
        <v>99</v>
      </c>
    </row>
    <row r="172" spans="1:11" x14ac:dyDescent="0.35">
      <c r="A172" t="s">
        <v>203</v>
      </c>
      <c r="B172" t="s">
        <v>44</v>
      </c>
      <c r="C172" t="s">
        <v>11</v>
      </c>
      <c r="D172" t="s">
        <v>34</v>
      </c>
      <c r="E172" t="s">
        <v>13</v>
      </c>
      <c r="F172">
        <v>79</v>
      </c>
      <c r="G172" t="s">
        <v>436</v>
      </c>
      <c r="H172">
        <v>5710</v>
      </c>
      <c r="I172" t="s">
        <v>442</v>
      </c>
      <c r="J172">
        <v>15</v>
      </c>
      <c r="K172">
        <v>83</v>
      </c>
    </row>
    <row r="173" spans="1:11" x14ac:dyDescent="0.35">
      <c r="A173" t="s">
        <v>204</v>
      </c>
      <c r="B173" t="s">
        <v>44</v>
      </c>
      <c r="C173" t="s">
        <v>23</v>
      </c>
      <c r="D173" t="s">
        <v>12</v>
      </c>
      <c r="E173" t="s">
        <v>17</v>
      </c>
      <c r="F173">
        <v>62</v>
      </c>
      <c r="G173" t="s">
        <v>436</v>
      </c>
      <c r="H173">
        <v>1935</v>
      </c>
      <c r="I173" t="s">
        <v>442</v>
      </c>
      <c r="J173">
        <v>2</v>
      </c>
      <c r="K173">
        <v>77</v>
      </c>
    </row>
    <row r="174" spans="1:11" x14ac:dyDescent="0.35">
      <c r="A174" t="s">
        <v>205</v>
      </c>
      <c r="B174" t="s">
        <v>10</v>
      </c>
      <c r="C174" t="s">
        <v>11</v>
      </c>
      <c r="D174" t="s">
        <v>34</v>
      </c>
      <c r="E174" t="s">
        <v>13</v>
      </c>
      <c r="F174">
        <v>57</v>
      </c>
      <c r="G174" t="s">
        <v>438</v>
      </c>
      <c r="H174">
        <v>6204</v>
      </c>
      <c r="I174" t="s">
        <v>442</v>
      </c>
      <c r="J174">
        <v>6</v>
      </c>
      <c r="K174">
        <v>70</v>
      </c>
    </row>
    <row r="175" spans="1:11" x14ac:dyDescent="0.35">
      <c r="A175" t="s">
        <v>206</v>
      </c>
      <c r="B175" t="s">
        <v>19</v>
      </c>
      <c r="C175" t="s">
        <v>40</v>
      </c>
      <c r="D175" t="s">
        <v>31</v>
      </c>
      <c r="E175" t="s">
        <v>17</v>
      </c>
      <c r="F175">
        <v>80</v>
      </c>
      <c r="G175" t="s">
        <v>436</v>
      </c>
      <c r="H175">
        <v>4992</v>
      </c>
      <c r="I175" t="s">
        <v>442</v>
      </c>
      <c r="J175">
        <v>3</v>
      </c>
      <c r="K175">
        <v>74</v>
      </c>
    </row>
    <row r="176" spans="1:11" x14ac:dyDescent="0.35">
      <c r="A176" t="s">
        <v>207</v>
      </c>
      <c r="B176" t="s">
        <v>19</v>
      </c>
      <c r="C176" t="s">
        <v>26</v>
      </c>
      <c r="D176" t="s">
        <v>34</v>
      </c>
      <c r="E176" t="s">
        <v>13</v>
      </c>
      <c r="F176">
        <v>56</v>
      </c>
      <c r="G176" t="s">
        <v>438</v>
      </c>
      <c r="H176">
        <v>1812</v>
      </c>
      <c r="I176" t="s">
        <v>442</v>
      </c>
      <c r="J176">
        <v>3</v>
      </c>
      <c r="K176">
        <v>91</v>
      </c>
    </row>
    <row r="177" spans="1:11" x14ac:dyDescent="0.35">
      <c r="A177" t="s">
        <v>208</v>
      </c>
      <c r="B177" t="s">
        <v>10</v>
      </c>
      <c r="C177" t="s">
        <v>40</v>
      </c>
      <c r="D177" t="s">
        <v>47</v>
      </c>
      <c r="E177" t="s">
        <v>17</v>
      </c>
      <c r="F177">
        <v>30</v>
      </c>
      <c r="G177" t="s">
        <v>434</v>
      </c>
      <c r="H177">
        <v>3889</v>
      </c>
      <c r="I177" t="s">
        <v>442</v>
      </c>
      <c r="J177">
        <v>3</v>
      </c>
      <c r="K177">
        <v>79</v>
      </c>
    </row>
    <row r="178" spans="1:11" x14ac:dyDescent="0.35">
      <c r="A178" t="s">
        <v>209</v>
      </c>
      <c r="B178" t="s">
        <v>25</v>
      </c>
      <c r="C178" t="s">
        <v>23</v>
      </c>
      <c r="D178" t="s">
        <v>31</v>
      </c>
      <c r="E178" t="s">
        <v>17</v>
      </c>
      <c r="F178">
        <v>41</v>
      </c>
      <c r="G178" t="s">
        <v>434</v>
      </c>
      <c r="H178">
        <v>1562</v>
      </c>
      <c r="I178" t="s">
        <v>442</v>
      </c>
      <c r="J178">
        <v>2</v>
      </c>
      <c r="K178">
        <v>73</v>
      </c>
    </row>
    <row r="179" spans="1:11" x14ac:dyDescent="0.35">
      <c r="A179" t="s">
        <v>210</v>
      </c>
      <c r="B179" t="s">
        <v>22</v>
      </c>
      <c r="C179" t="s">
        <v>23</v>
      </c>
      <c r="D179" t="s">
        <v>31</v>
      </c>
      <c r="E179" t="s">
        <v>17</v>
      </c>
      <c r="F179">
        <v>11</v>
      </c>
      <c r="G179" t="s">
        <v>437</v>
      </c>
      <c r="H179">
        <v>390</v>
      </c>
      <c r="I179" t="s">
        <v>442</v>
      </c>
      <c r="J179">
        <v>2</v>
      </c>
      <c r="K179">
        <v>56</v>
      </c>
    </row>
    <row r="180" spans="1:11" x14ac:dyDescent="0.35">
      <c r="A180" t="s">
        <v>211</v>
      </c>
      <c r="B180" t="s">
        <v>10</v>
      </c>
      <c r="C180" t="s">
        <v>26</v>
      </c>
      <c r="D180" t="s">
        <v>42</v>
      </c>
      <c r="E180" t="s">
        <v>13</v>
      </c>
      <c r="F180">
        <v>76</v>
      </c>
      <c r="G180" t="s">
        <v>436</v>
      </c>
      <c r="H180">
        <v>5600</v>
      </c>
      <c r="I180" t="s">
        <v>442</v>
      </c>
      <c r="J180">
        <v>10</v>
      </c>
      <c r="K180">
        <v>71</v>
      </c>
    </row>
    <row r="181" spans="1:11" x14ac:dyDescent="0.35">
      <c r="A181" t="s">
        <v>212</v>
      </c>
      <c r="B181" t="s">
        <v>10</v>
      </c>
      <c r="C181" t="s">
        <v>11</v>
      </c>
      <c r="D181" t="s">
        <v>47</v>
      </c>
      <c r="E181" t="s">
        <v>17</v>
      </c>
      <c r="F181">
        <v>86</v>
      </c>
      <c r="G181" t="s">
        <v>436</v>
      </c>
      <c r="H181">
        <v>17292</v>
      </c>
      <c r="I181" t="s">
        <v>441</v>
      </c>
      <c r="J181">
        <v>11</v>
      </c>
      <c r="K181">
        <v>96</v>
      </c>
    </row>
    <row r="182" spans="1:11" x14ac:dyDescent="0.35">
      <c r="A182" t="s">
        <v>213</v>
      </c>
      <c r="B182" t="s">
        <v>15</v>
      </c>
      <c r="C182" t="s">
        <v>26</v>
      </c>
      <c r="D182" t="s">
        <v>16</v>
      </c>
      <c r="E182" t="s">
        <v>17</v>
      </c>
      <c r="F182">
        <v>14</v>
      </c>
      <c r="G182" t="s">
        <v>440</v>
      </c>
      <c r="H182">
        <v>5734</v>
      </c>
      <c r="I182" t="s">
        <v>442</v>
      </c>
      <c r="J182">
        <v>10</v>
      </c>
      <c r="K182">
        <v>63</v>
      </c>
    </row>
    <row r="183" spans="1:11" x14ac:dyDescent="0.35">
      <c r="A183" t="s">
        <v>214</v>
      </c>
      <c r="B183" t="s">
        <v>22</v>
      </c>
      <c r="C183" t="s">
        <v>23</v>
      </c>
      <c r="D183" t="s">
        <v>60</v>
      </c>
      <c r="E183" t="s">
        <v>13</v>
      </c>
      <c r="F183">
        <v>45</v>
      </c>
      <c r="G183" t="s">
        <v>438</v>
      </c>
      <c r="H183">
        <v>1931</v>
      </c>
      <c r="I183" t="s">
        <v>442</v>
      </c>
      <c r="J183">
        <v>3</v>
      </c>
      <c r="K183">
        <v>73</v>
      </c>
    </row>
    <row r="184" spans="1:11" x14ac:dyDescent="0.35">
      <c r="A184" t="s">
        <v>215</v>
      </c>
      <c r="B184" t="s">
        <v>15</v>
      </c>
      <c r="C184" t="s">
        <v>26</v>
      </c>
      <c r="D184" t="s">
        <v>16</v>
      </c>
      <c r="E184" t="s">
        <v>17</v>
      </c>
      <c r="F184">
        <v>55</v>
      </c>
      <c r="G184" t="s">
        <v>438</v>
      </c>
      <c r="H184">
        <v>5595</v>
      </c>
      <c r="I184" t="s">
        <v>442</v>
      </c>
      <c r="J184">
        <v>10</v>
      </c>
      <c r="K184">
        <v>51</v>
      </c>
    </row>
    <row r="185" spans="1:11" x14ac:dyDescent="0.35">
      <c r="A185" t="s">
        <v>216</v>
      </c>
      <c r="B185" t="s">
        <v>19</v>
      </c>
      <c r="C185" t="s">
        <v>26</v>
      </c>
      <c r="D185" t="s">
        <v>12</v>
      </c>
      <c r="E185" t="s">
        <v>17</v>
      </c>
      <c r="F185">
        <v>90</v>
      </c>
      <c r="G185" t="s">
        <v>436</v>
      </c>
      <c r="H185">
        <v>3531</v>
      </c>
      <c r="I185" t="s">
        <v>442</v>
      </c>
      <c r="J185">
        <v>7</v>
      </c>
      <c r="K185">
        <v>72</v>
      </c>
    </row>
    <row r="186" spans="1:11" x14ac:dyDescent="0.35">
      <c r="A186" t="s">
        <v>217</v>
      </c>
      <c r="B186" t="s">
        <v>15</v>
      </c>
      <c r="C186" t="s">
        <v>40</v>
      </c>
      <c r="D186" t="s">
        <v>42</v>
      </c>
      <c r="E186" t="s">
        <v>13</v>
      </c>
      <c r="F186">
        <v>52</v>
      </c>
      <c r="G186" t="s">
        <v>438</v>
      </c>
      <c r="H186">
        <v>1070</v>
      </c>
      <c r="I186" t="s">
        <v>442</v>
      </c>
      <c r="J186">
        <v>2</v>
      </c>
      <c r="K186">
        <v>97</v>
      </c>
    </row>
    <row r="187" spans="1:11" x14ac:dyDescent="0.35">
      <c r="A187" t="s">
        <v>218</v>
      </c>
      <c r="B187" t="s">
        <v>10</v>
      </c>
      <c r="C187" t="s">
        <v>11</v>
      </c>
      <c r="D187" t="s">
        <v>31</v>
      </c>
      <c r="E187" t="s">
        <v>13</v>
      </c>
      <c r="F187">
        <v>28</v>
      </c>
      <c r="G187" t="s">
        <v>439</v>
      </c>
      <c r="H187">
        <v>11163</v>
      </c>
      <c r="I187" t="s">
        <v>441</v>
      </c>
      <c r="J187">
        <v>11</v>
      </c>
      <c r="K187">
        <v>79</v>
      </c>
    </row>
    <row r="188" spans="1:11" x14ac:dyDescent="0.35">
      <c r="A188" t="s">
        <v>219</v>
      </c>
      <c r="B188" t="s">
        <v>44</v>
      </c>
      <c r="C188" t="s">
        <v>40</v>
      </c>
      <c r="D188" t="s">
        <v>29</v>
      </c>
      <c r="E188" t="s">
        <v>17</v>
      </c>
      <c r="F188">
        <v>42</v>
      </c>
      <c r="G188" t="s">
        <v>434</v>
      </c>
      <c r="H188">
        <v>1195</v>
      </c>
      <c r="I188" t="s">
        <v>442</v>
      </c>
      <c r="J188">
        <v>1</v>
      </c>
      <c r="K188">
        <v>59</v>
      </c>
    </row>
    <row r="189" spans="1:11" x14ac:dyDescent="0.35">
      <c r="A189" t="s">
        <v>220</v>
      </c>
      <c r="B189" t="s">
        <v>22</v>
      </c>
      <c r="C189" t="s">
        <v>11</v>
      </c>
      <c r="D189" t="s">
        <v>31</v>
      </c>
      <c r="E189" t="s">
        <v>17</v>
      </c>
      <c r="F189">
        <v>85</v>
      </c>
      <c r="G189" t="s">
        <v>436</v>
      </c>
      <c r="H189">
        <v>11947</v>
      </c>
      <c r="I189" t="s">
        <v>441</v>
      </c>
      <c r="J189">
        <v>12</v>
      </c>
      <c r="K189">
        <v>88</v>
      </c>
    </row>
    <row r="190" spans="1:11" x14ac:dyDescent="0.35">
      <c r="A190" t="s">
        <v>221</v>
      </c>
      <c r="B190" t="s">
        <v>25</v>
      </c>
      <c r="C190" t="s">
        <v>23</v>
      </c>
      <c r="D190" t="s">
        <v>27</v>
      </c>
      <c r="E190" t="s">
        <v>17</v>
      </c>
      <c r="F190">
        <v>66</v>
      </c>
      <c r="G190" t="s">
        <v>436</v>
      </c>
      <c r="H190">
        <v>433</v>
      </c>
      <c r="I190" t="s">
        <v>442</v>
      </c>
      <c r="J190">
        <v>2</v>
      </c>
      <c r="K190">
        <v>77</v>
      </c>
    </row>
    <row r="191" spans="1:11" x14ac:dyDescent="0.35">
      <c r="A191" t="s">
        <v>222</v>
      </c>
      <c r="B191" t="s">
        <v>15</v>
      </c>
      <c r="C191" t="s">
        <v>26</v>
      </c>
      <c r="D191" t="s">
        <v>16</v>
      </c>
      <c r="E191" t="s">
        <v>17</v>
      </c>
      <c r="F191">
        <v>86</v>
      </c>
      <c r="G191" t="s">
        <v>436</v>
      </c>
      <c r="H191">
        <v>3526</v>
      </c>
      <c r="I191" t="s">
        <v>442</v>
      </c>
      <c r="J191">
        <v>2</v>
      </c>
      <c r="K191">
        <v>64</v>
      </c>
    </row>
    <row r="192" spans="1:11" x14ac:dyDescent="0.35">
      <c r="A192" t="s">
        <v>223</v>
      </c>
      <c r="B192" t="s">
        <v>25</v>
      </c>
      <c r="C192" t="s">
        <v>11</v>
      </c>
      <c r="D192" t="s">
        <v>12</v>
      </c>
      <c r="E192" t="s">
        <v>17</v>
      </c>
      <c r="F192">
        <v>28</v>
      </c>
      <c r="G192" t="s">
        <v>439</v>
      </c>
      <c r="H192">
        <v>17572</v>
      </c>
      <c r="I192" t="s">
        <v>441</v>
      </c>
      <c r="J192">
        <v>7</v>
      </c>
      <c r="K192">
        <v>98</v>
      </c>
    </row>
    <row r="193" spans="1:11" x14ac:dyDescent="0.35">
      <c r="A193" t="s">
        <v>224</v>
      </c>
      <c r="B193" t="s">
        <v>44</v>
      </c>
      <c r="C193" t="s">
        <v>26</v>
      </c>
      <c r="D193" t="s">
        <v>29</v>
      </c>
      <c r="E193" t="s">
        <v>17</v>
      </c>
      <c r="F193">
        <v>64</v>
      </c>
      <c r="G193" t="s">
        <v>436</v>
      </c>
      <c r="H193">
        <v>4527</v>
      </c>
      <c r="I193" t="s">
        <v>442</v>
      </c>
      <c r="J193">
        <v>4</v>
      </c>
      <c r="K193">
        <v>58</v>
      </c>
    </row>
    <row r="194" spans="1:11" x14ac:dyDescent="0.35">
      <c r="A194" t="s">
        <v>225</v>
      </c>
      <c r="B194" t="s">
        <v>25</v>
      </c>
      <c r="C194" t="s">
        <v>40</v>
      </c>
      <c r="D194" t="s">
        <v>20</v>
      </c>
      <c r="E194" t="s">
        <v>13</v>
      </c>
      <c r="F194">
        <v>86</v>
      </c>
      <c r="G194" t="s">
        <v>436</v>
      </c>
      <c r="H194">
        <v>3401</v>
      </c>
      <c r="I194" t="s">
        <v>442</v>
      </c>
      <c r="J194">
        <v>1</v>
      </c>
      <c r="K194">
        <v>75</v>
      </c>
    </row>
    <row r="195" spans="1:11" x14ac:dyDescent="0.35">
      <c r="A195" t="s">
        <v>226</v>
      </c>
      <c r="B195" t="s">
        <v>49</v>
      </c>
      <c r="C195" t="s">
        <v>11</v>
      </c>
      <c r="D195" t="s">
        <v>47</v>
      </c>
      <c r="E195" t="s">
        <v>17</v>
      </c>
      <c r="F195">
        <v>10</v>
      </c>
      <c r="G195" t="s">
        <v>437</v>
      </c>
      <c r="H195">
        <v>19124</v>
      </c>
      <c r="I195" t="s">
        <v>441</v>
      </c>
      <c r="J195">
        <v>10</v>
      </c>
      <c r="K195">
        <v>86</v>
      </c>
    </row>
    <row r="196" spans="1:11" x14ac:dyDescent="0.35">
      <c r="A196" t="s">
        <v>227</v>
      </c>
      <c r="B196" t="s">
        <v>25</v>
      </c>
      <c r="C196" t="s">
        <v>23</v>
      </c>
      <c r="D196" t="s">
        <v>47</v>
      </c>
      <c r="E196" t="s">
        <v>17</v>
      </c>
      <c r="F196">
        <v>52</v>
      </c>
      <c r="G196" t="s">
        <v>438</v>
      </c>
      <c r="H196">
        <v>242</v>
      </c>
      <c r="I196" t="s">
        <v>442</v>
      </c>
      <c r="J196">
        <v>2</v>
      </c>
      <c r="K196">
        <v>60</v>
      </c>
    </row>
    <row r="197" spans="1:11" x14ac:dyDescent="0.35">
      <c r="A197" t="s">
        <v>228</v>
      </c>
      <c r="B197" t="s">
        <v>49</v>
      </c>
      <c r="C197" t="s">
        <v>23</v>
      </c>
      <c r="D197" t="s">
        <v>29</v>
      </c>
      <c r="E197" t="s">
        <v>17</v>
      </c>
      <c r="F197">
        <v>14</v>
      </c>
      <c r="G197" t="s">
        <v>440</v>
      </c>
      <c r="H197">
        <v>698</v>
      </c>
      <c r="I197" t="s">
        <v>442</v>
      </c>
      <c r="J197">
        <v>2</v>
      </c>
      <c r="K197">
        <v>87</v>
      </c>
    </row>
    <row r="198" spans="1:11" x14ac:dyDescent="0.35">
      <c r="A198" t="s">
        <v>229</v>
      </c>
      <c r="B198" t="s">
        <v>25</v>
      </c>
      <c r="C198" t="s">
        <v>11</v>
      </c>
      <c r="D198" t="s">
        <v>47</v>
      </c>
      <c r="E198" t="s">
        <v>13</v>
      </c>
      <c r="F198">
        <v>44</v>
      </c>
      <c r="G198" t="s">
        <v>434</v>
      </c>
      <c r="H198">
        <v>8630</v>
      </c>
      <c r="I198" t="s">
        <v>441</v>
      </c>
      <c r="J198">
        <v>10</v>
      </c>
      <c r="K198">
        <v>99</v>
      </c>
    </row>
    <row r="199" spans="1:11" x14ac:dyDescent="0.35">
      <c r="A199" t="s">
        <v>230</v>
      </c>
      <c r="B199" t="s">
        <v>22</v>
      </c>
      <c r="C199" t="s">
        <v>11</v>
      </c>
      <c r="D199" t="s">
        <v>20</v>
      </c>
      <c r="E199" t="s">
        <v>13</v>
      </c>
      <c r="F199">
        <v>68</v>
      </c>
      <c r="G199" t="s">
        <v>436</v>
      </c>
      <c r="H199">
        <v>13355</v>
      </c>
      <c r="I199" t="s">
        <v>441</v>
      </c>
      <c r="J199">
        <v>8</v>
      </c>
      <c r="K199">
        <v>99</v>
      </c>
    </row>
    <row r="200" spans="1:11" x14ac:dyDescent="0.35">
      <c r="A200" t="s">
        <v>231</v>
      </c>
      <c r="B200" t="s">
        <v>44</v>
      </c>
      <c r="C200" t="s">
        <v>26</v>
      </c>
      <c r="D200" t="s">
        <v>42</v>
      </c>
      <c r="E200" t="s">
        <v>17</v>
      </c>
      <c r="F200">
        <v>19</v>
      </c>
      <c r="G200" t="s">
        <v>440</v>
      </c>
      <c r="H200">
        <v>3096</v>
      </c>
      <c r="I200" t="s">
        <v>442</v>
      </c>
      <c r="J200">
        <v>5</v>
      </c>
      <c r="K200">
        <v>61</v>
      </c>
    </row>
    <row r="201" spans="1:11" x14ac:dyDescent="0.35">
      <c r="A201" t="s">
        <v>232</v>
      </c>
      <c r="B201" t="s">
        <v>19</v>
      </c>
      <c r="C201" t="s">
        <v>40</v>
      </c>
      <c r="D201" t="s">
        <v>31</v>
      </c>
      <c r="E201" t="s">
        <v>17</v>
      </c>
      <c r="F201">
        <v>81</v>
      </c>
      <c r="G201" t="s">
        <v>436</v>
      </c>
      <c r="H201">
        <v>4547</v>
      </c>
      <c r="I201" t="s">
        <v>442</v>
      </c>
      <c r="J201">
        <v>4</v>
      </c>
      <c r="K201">
        <v>98</v>
      </c>
    </row>
    <row r="202" spans="1:11" x14ac:dyDescent="0.35">
      <c r="A202" t="s">
        <v>233</v>
      </c>
      <c r="B202" t="s">
        <v>19</v>
      </c>
      <c r="C202" t="s">
        <v>23</v>
      </c>
      <c r="D202" t="s">
        <v>16</v>
      </c>
      <c r="E202" t="s">
        <v>13</v>
      </c>
      <c r="F202">
        <v>80</v>
      </c>
      <c r="G202" t="s">
        <v>436</v>
      </c>
      <c r="H202">
        <v>861</v>
      </c>
      <c r="I202" t="s">
        <v>442</v>
      </c>
      <c r="J202">
        <v>3</v>
      </c>
      <c r="K202">
        <v>70</v>
      </c>
    </row>
    <row r="203" spans="1:11" x14ac:dyDescent="0.35">
      <c r="A203" t="s">
        <v>234</v>
      </c>
      <c r="B203" t="s">
        <v>22</v>
      </c>
      <c r="C203" t="s">
        <v>23</v>
      </c>
      <c r="D203" t="s">
        <v>31</v>
      </c>
      <c r="E203" t="s">
        <v>17</v>
      </c>
      <c r="F203">
        <v>81</v>
      </c>
      <c r="G203" t="s">
        <v>436</v>
      </c>
      <c r="H203">
        <v>820</v>
      </c>
      <c r="I203" t="s">
        <v>442</v>
      </c>
      <c r="J203">
        <v>2</v>
      </c>
      <c r="K203">
        <v>87</v>
      </c>
    </row>
    <row r="204" spans="1:11" x14ac:dyDescent="0.35">
      <c r="A204" t="s">
        <v>235</v>
      </c>
      <c r="B204" t="s">
        <v>15</v>
      </c>
      <c r="C204" t="s">
        <v>26</v>
      </c>
      <c r="D204" t="s">
        <v>20</v>
      </c>
      <c r="E204" t="s">
        <v>17</v>
      </c>
      <c r="F204">
        <v>60</v>
      </c>
      <c r="G204" t="s">
        <v>438</v>
      </c>
      <c r="H204">
        <v>4702</v>
      </c>
      <c r="I204" t="s">
        <v>442</v>
      </c>
      <c r="J204">
        <v>2</v>
      </c>
      <c r="K204">
        <v>53</v>
      </c>
    </row>
    <row r="205" spans="1:11" x14ac:dyDescent="0.35">
      <c r="A205" t="s">
        <v>236</v>
      </c>
      <c r="B205" t="s">
        <v>44</v>
      </c>
      <c r="C205" t="s">
        <v>26</v>
      </c>
      <c r="D205" t="s">
        <v>31</v>
      </c>
      <c r="E205" t="s">
        <v>13</v>
      </c>
      <c r="F205">
        <v>12</v>
      </c>
      <c r="G205" t="s">
        <v>437</v>
      </c>
      <c r="H205">
        <v>6038</v>
      </c>
      <c r="I205" t="s">
        <v>442</v>
      </c>
      <c r="J205">
        <v>10</v>
      </c>
      <c r="K205">
        <v>74</v>
      </c>
    </row>
    <row r="206" spans="1:11" x14ac:dyDescent="0.35">
      <c r="A206" t="s">
        <v>237</v>
      </c>
      <c r="B206" t="s">
        <v>25</v>
      </c>
      <c r="C206" t="s">
        <v>11</v>
      </c>
      <c r="D206" t="s">
        <v>34</v>
      </c>
      <c r="E206" t="s">
        <v>13</v>
      </c>
      <c r="F206">
        <v>74</v>
      </c>
      <c r="G206" t="s">
        <v>436</v>
      </c>
      <c r="H206">
        <v>15679</v>
      </c>
      <c r="I206" t="s">
        <v>441</v>
      </c>
      <c r="J206">
        <v>8</v>
      </c>
      <c r="K206">
        <v>70</v>
      </c>
    </row>
    <row r="207" spans="1:11" x14ac:dyDescent="0.35">
      <c r="A207" t="s">
        <v>238</v>
      </c>
      <c r="B207" t="s">
        <v>19</v>
      </c>
      <c r="C207" t="s">
        <v>23</v>
      </c>
      <c r="D207" t="s">
        <v>20</v>
      </c>
      <c r="E207" t="s">
        <v>17</v>
      </c>
      <c r="F207">
        <v>8</v>
      </c>
      <c r="G207" t="s">
        <v>437</v>
      </c>
      <c r="H207">
        <v>1122</v>
      </c>
      <c r="I207" t="s">
        <v>442</v>
      </c>
      <c r="J207">
        <v>1</v>
      </c>
      <c r="K207">
        <v>71</v>
      </c>
    </row>
    <row r="208" spans="1:11" x14ac:dyDescent="0.35">
      <c r="A208" t="s">
        <v>239</v>
      </c>
      <c r="B208" t="s">
        <v>10</v>
      </c>
      <c r="C208" t="s">
        <v>11</v>
      </c>
      <c r="D208" t="s">
        <v>20</v>
      </c>
      <c r="E208" t="s">
        <v>13</v>
      </c>
      <c r="F208">
        <v>6</v>
      </c>
      <c r="G208" t="s">
        <v>437</v>
      </c>
      <c r="H208">
        <v>9059</v>
      </c>
      <c r="I208" t="s">
        <v>441</v>
      </c>
      <c r="J208">
        <v>12</v>
      </c>
      <c r="K208">
        <v>78</v>
      </c>
    </row>
    <row r="209" spans="1:11" x14ac:dyDescent="0.35">
      <c r="A209" t="s">
        <v>240</v>
      </c>
      <c r="B209" t="s">
        <v>19</v>
      </c>
      <c r="C209" t="s">
        <v>40</v>
      </c>
      <c r="D209" t="s">
        <v>29</v>
      </c>
      <c r="E209" t="s">
        <v>17</v>
      </c>
      <c r="F209">
        <v>37</v>
      </c>
      <c r="G209" t="s">
        <v>434</v>
      </c>
      <c r="H209">
        <v>3673</v>
      </c>
      <c r="I209" t="s">
        <v>442</v>
      </c>
      <c r="J209">
        <v>4</v>
      </c>
      <c r="K209">
        <v>99</v>
      </c>
    </row>
    <row r="210" spans="1:11" x14ac:dyDescent="0.35">
      <c r="A210" t="s">
        <v>241</v>
      </c>
      <c r="B210" t="s">
        <v>44</v>
      </c>
      <c r="C210" t="s">
        <v>11</v>
      </c>
      <c r="D210" t="s">
        <v>29</v>
      </c>
      <c r="E210" t="s">
        <v>17</v>
      </c>
      <c r="F210">
        <v>13</v>
      </c>
      <c r="G210" t="s">
        <v>440</v>
      </c>
      <c r="H210">
        <v>14141</v>
      </c>
      <c r="I210" t="s">
        <v>441</v>
      </c>
      <c r="J210">
        <v>15</v>
      </c>
      <c r="K210">
        <v>74</v>
      </c>
    </row>
    <row r="211" spans="1:11" x14ac:dyDescent="0.35">
      <c r="A211" t="s">
        <v>242</v>
      </c>
      <c r="B211" t="s">
        <v>44</v>
      </c>
      <c r="C211" t="s">
        <v>26</v>
      </c>
      <c r="D211" t="s">
        <v>16</v>
      </c>
      <c r="E211" t="s">
        <v>13</v>
      </c>
      <c r="F211">
        <v>43</v>
      </c>
      <c r="G211" t="s">
        <v>434</v>
      </c>
      <c r="H211">
        <v>1667</v>
      </c>
      <c r="I211" t="s">
        <v>442</v>
      </c>
      <c r="J211">
        <v>4</v>
      </c>
      <c r="K211">
        <v>72</v>
      </c>
    </row>
    <row r="212" spans="1:11" x14ac:dyDescent="0.35">
      <c r="A212" t="s">
        <v>243</v>
      </c>
      <c r="B212" t="s">
        <v>44</v>
      </c>
      <c r="C212" t="s">
        <v>23</v>
      </c>
      <c r="D212" t="s">
        <v>42</v>
      </c>
      <c r="E212" t="s">
        <v>13</v>
      </c>
      <c r="F212">
        <v>11</v>
      </c>
      <c r="G212" t="s">
        <v>437</v>
      </c>
      <c r="H212">
        <v>834</v>
      </c>
      <c r="I212" t="s">
        <v>442</v>
      </c>
      <c r="J212">
        <v>3</v>
      </c>
      <c r="K212">
        <v>74</v>
      </c>
    </row>
    <row r="213" spans="1:11" x14ac:dyDescent="0.35">
      <c r="A213" t="s">
        <v>244</v>
      </c>
      <c r="B213" t="s">
        <v>10</v>
      </c>
      <c r="C213" t="s">
        <v>26</v>
      </c>
      <c r="D213" t="s">
        <v>42</v>
      </c>
      <c r="E213" t="s">
        <v>13</v>
      </c>
      <c r="F213">
        <v>88</v>
      </c>
      <c r="G213" t="s">
        <v>436</v>
      </c>
      <c r="H213">
        <v>5312</v>
      </c>
      <c r="I213" t="s">
        <v>442</v>
      </c>
      <c r="J213">
        <v>3</v>
      </c>
      <c r="K213">
        <v>91</v>
      </c>
    </row>
    <row r="214" spans="1:11" x14ac:dyDescent="0.35">
      <c r="A214" t="s">
        <v>245</v>
      </c>
      <c r="B214" t="s">
        <v>10</v>
      </c>
      <c r="C214" t="s">
        <v>23</v>
      </c>
      <c r="D214" t="s">
        <v>20</v>
      </c>
      <c r="E214" t="s">
        <v>17</v>
      </c>
      <c r="F214">
        <v>47</v>
      </c>
      <c r="G214" t="s">
        <v>438</v>
      </c>
      <c r="H214">
        <v>832</v>
      </c>
      <c r="I214" t="s">
        <v>442</v>
      </c>
      <c r="J214">
        <v>1</v>
      </c>
      <c r="K214">
        <v>63</v>
      </c>
    </row>
    <row r="215" spans="1:11" x14ac:dyDescent="0.35">
      <c r="A215" t="s">
        <v>246</v>
      </c>
      <c r="B215" t="s">
        <v>44</v>
      </c>
      <c r="C215" t="s">
        <v>23</v>
      </c>
      <c r="D215" t="s">
        <v>60</v>
      </c>
      <c r="E215" t="s">
        <v>17</v>
      </c>
      <c r="F215">
        <v>18</v>
      </c>
      <c r="G215" t="s">
        <v>440</v>
      </c>
      <c r="H215">
        <v>517</v>
      </c>
      <c r="I215" t="s">
        <v>442</v>
      </c>
      <c r="J215">
        <v>1</v>
      </c>
      <c r="K215">
        <v>68</v>
      </c>
    </row>
    <row r="216" spans="1:11" x14ac:dyDescent="0.35">
      <c r="A216" t="s">
        <v>247</v>
      </c>
      <c r="B216" t="s">
        <v>49</v>
      </c>
      <c r="C216" t="s">
        <v>11</v>
      </c>
      <c r="D216" t="s">
        <v>20</v>
      </c>
      <c r="E216" t="s">
        <v>13</v>
      </c>
      <c r="F216">
        <v>68</v>
      </c>
      <c r="G216" t="s">
        <v>436</v>
      </c>
      <c r="H216">
        <v>5618</v>
      </c>
      <c r="I216" t="s">
        <v>442</v>
      </c>
      <c r="J216">
        <v>15</v>
      </c>
      <c r="K216">
        <v>71</v>
      </c>
    </row>
    <row r="217" spans="1:11" x14ac:dyDescent="0.35">
      <c r="A217" t="s">
        <v>248</v>
      </c>
      <c r="B217" t="s">
        <v>49</v>
      </c>
      <c r="C217" t="s">
        <v>40</v>
      </c>
      <c r="D217" t="s">
        <v>16</v>
      </c>
      <c r="E217" t="s">
        <v>17</v>
      </c>
      <c r="F217">
        <v>21</v>
      </c>
      <c r="G217" t="s">
        <v>439</v>
      </c>
      <c r="H217">
        <v>1981</v>
      </c>
      <c r="I217" t="s">
        <v>442</v>
      </c>
      <c r="J217">
        <v>5</v>
      </c>
      <c r="K217">
        <v>60</v>
      </c>
    </row>
    <row r="218" spans="1:11" x14ac:dyDescent="0.35">
      <c r="A218" t="s">
        <v>249</v>
      </c>
      <c r="B218" t="s">
        <v>10</v>
      </c>
      <c r="C218" t="s">
        <v>23</v>
      </c>
      <c r="D218" t="s">
        <v>12</v>
      </c>
      <c r="E218" t="s">
        <v>17</v>
      </c>
      <c r="F218">
        <v>87</v>
      </c>
      <c r="G218" t="s">
        <v>436</v>
      </c>
      <c r="H218">
        <v>1673</v>
      </c>
      <c r="I218" t="s">
        <v>442</v>
      </c>
      <c r="J218">
        <v>1</v>
      </c>
      <c r="K218">
        <v>78</v>
      </c>
    </row>
    <row r="219" spans="1:11" x14ac:dyDescent="0.35">
      <c r="A219" t="s">
        <v>250</v>
      </c>
      <c r="B219" t="s">
        <v>19</v>
      </c>
      <c r="C219" t="s">
        <v>26</v>
      </c>
      <c r="D219" t="s">
        <v>34</v>
      </c>
      <c r="E219" t="s">
        <v>17</v>
      </c>
      <c r="F219">
        <v>31</v>
      </c>
      <c r="G219" t="s">
        <v>434</v>
      </c>
      <c r="H219">
        <v>3535</v>
      </c>
      <c r="I219" t="s">
        <v>442</v>
      </c>
      <c r="J219">
        <v>9</v>
      </c>
      <c r="K219">
        <v>62</v>
      </c>
    </row>
    <row r="220" spans="1:11" x14ac:dyDescent="0.35">
      <c r="A220" t="s">
        <v>251</v>
      </c>
      <c r="B220" t="s">
        <v>44</v>
      </c>
      <c r="C220" t="s">
        <v>23</v>
      </c>
      <c r="D220" t="s">
        <v>34</v>
      </c>
      <c r="E220" t="s">
        <v>13</v>
      </c>
      <c r="F220">
        <v>49</v>
      </c>
      <c r="G220" t="s">
        <v>438</v>
      </c>
      <c r="H220">
        <v>1229</v>
      </c>
      <c r="I220" t="s">
        <v>442</v>
      </c>
      <c r="J220">
        <v>3</v>
      </c>
      <c r="K220">
        <v>76</v>
      </c>
    </row>
    <row r="221" spans="1:11" x14ac:dyDescent="0.35">
      <c r="A221" t="s">
        <v>252</v>
      </c>
      <c r="B221" t="s">
        <v>22</v>
      </c>
      <c r="C221" t="s">
        <v>40</v>
      </c>
      <c r="D221" t="s">
        <v>16</v>
      </c>
      <c r="E221" t="s">
        <v>17</v>
      </c>
      <c r="F221">
        <v>33</v>
      </c>
      <c r="G221" t="s">
        <v>434</v>
      </c>
      <c r="H221">
        <v>927</v>
      </c>
      <c r="I221" t="s">
        <v>442</v>
      </c>
      <c r="J221">
        <v>4</v>
      </c>
      <c r="K221">
        <v>73</v>
      </c>
    </row>
    <row r="222" spans="1:11" x14ac:dyDescent="0.35">
      <c r="A222" t="s">
        <v>253</v>
      </c>
      <c r="B222" t="s">
        <v>19</v>
      </c>
      <c r="C222" t="s">
        <v>11</v>
      </c>
      <c r="D222" t="s">
        <v>20</v>
      </c>
      <c r="E222" t="s">
        <v>13</v>
      </c>
      <c r="F222">
        <v>37</v>
      </c>
      <c r="G222" t="s">
        <v>434</v>
      </c>
      <c r="H222">
        <v>6374</v>
      </c>
      <c r="I222" t="s">
        <v>442</v>
      </c>
      <c r="J222">
        <v>7</v>
      </c>
      <c r="K222">
        <v>67</v>
      </c>
    </row>
    <row r="223" spans="1:11" x14ac:dyDescent="0.35">
      <c r="A223" t="s">
        <v>254</v>
      </c>
      <c r="B223" t="s">
        <v>25</v>
      </c>
      <c r="C223" t="s">
        <v>40</v>
      </c>
      <c r="D223" t="s">
        <v>47</v>
      </c>
      <c r="E223" t="s">
        <v>17</v>
      </c>
      <c r="F223">
        <v>29</v>
      </c>
      <c r="G223" t="s">
        <v>439</v>
      </c>
      <c r="H223">
        <v>4195</v>
      </c>
      <c r="I223" t="s">
        <v>442</v>
      </c>
      <c r="J223">
        <v>3</v>
      </c>
      <c r="K223">
        <v>51</v>
      </c>
    </row>
    <row r="224" spans="1:11" x14ac:dyDescent="0.35">
      <c r="A224" t="s">
        <v>255</v>
      </c>
      <c r="B224" t="s">
        <v>25</v>
      </c>
      <c r="C224" t="s">
        <v>11</v>
      </c>
      <c r="D224" t="s">
        <v>47</v>
      </c>
      <c r="E224" t="s">
        <v>13</v>
      </c>
      <c r="F224">
        <v>31</v>
      </c>
      <c r="G224" t="s">
        <v>434</v>
      </c>
      <c r="H224">
        <v>11326</v>
      </c>
      <c r="I224" t="s">
        <v>441</v>
      </c>
      <c r="J224">
        <v>6</v>
      </c>
      <c r="K224">
        <v>73</v>
      </c>
    </row>
    <row r="225" spans="1:11" x14ac:dyDescent="0.35">
      <c r="A225" t="s">
        <v>256</v>
      </c>
      <c r="B225" t="s">
        <v>22</v>
      </c>
      <c r="C225" t="s">
        <v>11</v>
      </c>
      <c r="D225" t="s">
        <v>29</v>
      </c>
      <c r="E225" t="s">
        <v>13</v>
      </c>
      <c r="F225">
        <v>84</v>
      </c>
      <c r="G225" t="s">
        <v>436</v>
      </c>
      <c r="H225">
        <v>10493</v>
      </c>
      <c r="I225" t="s">
        <v>441</v>
      </c>
      <c r="J225">
        <v>7</v>
      </c>
      <c r="K225">
        <v>58</v>
      </c>
    </row>
    <row r="226" spans="1:11" x14ac:dyDescent="0.35">
      <c r="A226" t="s">
        <v>257</v>
      </c>
      <c r="B226" t="s">
        <v>15</v>
      </c>
      <c r="C226" t="s">
        <v>26</v>
      </c>
      <c r="D226" t="s">
        <v>34</v>
      </c>
      <c r="E226" t="s">
        <v>13</v>
      </c>
      <c r="F226">
        <v>18</v>
      </c>
      <c r="G226" t="s">
        <v>440</v>
      </c>
      <c r="H226">
        <v>6779</v>
      </c>
      <c r="I226" t="s">
        <v>442</v>
      </c>
      <c r="J226">
        <v>9</v>
      </c>
      <c r="K226">
        <v>78</v>
      </c>
    </row>
    <row r="227" spans="1:11" x14ac:dyDescent="0.35">
      <c r="A227" t="s">
        <v>258</v>
      </c>
      <c r="B227" t="s">
        <v>19</v>
      </c>
      <c r="C227" t="s">
        <v>11</v>
      </c>
      <c r="D227" t="s">
        <v>31</v>
      </c>
      <c r="E227" t="s">
        <v>17</v>
      </c>
      <c r="F227">
        <v>28</v>
      </c>
      <c r="G227" t="s">
        <v>439</v>
      </c>
      <c r="H227">
        <v>18680</v>
      </c>
      <c r="I227" t="s">
        <v>441</v>
      </c>
      <c r="J227">
        <v>7</v>
      </c>
      <c r="K227">
        <v>85</v>
      </c>
    </row>
    <row r="228" spans="1:11" x14ac:dyDescent="0.35">
      <c r="A228" t="s">
        <v>259</v>
      </c>
      <c r="B228" t="s">
        <v>10</v>
      </c>
      <c r="C228" t="s">
        <v>23</v>
      </c>
      <c r="D228" t="s">
        <v>31</v>
      </c>
      <c r="E228" t="s">
        <v>13</v>
      </c>
      <c r="F228">
        <v>31</v>
      </c>
      <c r="G228" t="s">
        <v>434</v>
      </c>
      <c r="H228">
        <v>816</v>
      </c>
      <c r="I228" t="s">
        <v>442</v>
      </c>
      <c r="J228">
        <v>1</v>
      </c>
      <c r="K228">
        <v>53</v>
      </c>
    </row>
    <row r="229" spans="1:11" x14ac:dyDescent="0.35">
      <c r="A229" t="s">
        <v>260</v>
      </c>
      <c r="B229" t="s">
        <v>22</v>
      </c>
      <c r="C229" t="s">
        <v>23</v>
      </c>
      <c r="D229" t="s">
        <v>16</v>
      </c>
      <c r="E229" t="s">
        <v>17</v>
      </c>
      <c r="F229">
        <v>15</v>
      </c>
      <c r="G229" t="s">
        <v>440</v>
      </c>
      <c r="H229">
        <v>1913</v>
      </c>
      <c r="I229" t="s">
        <v>442</v>
      </c>
      <c r="J229">
        <v>2</v>
      </c>
      <c r="K229">
        <v>88</v>
      </c>
    </row>
    <row r="230" spans="1:11" x14ac:dyDescent="0.35">
      <c r="A230" t="s">
        <v>261</v>
      </c>
      <c r="B230" t="s">
        <v>19</v>
      </c>
      <c r="C230" t="s">
        <v>11</v>
      </c>
      <c r="D230" t="s">
        <v>20</v>
      </c>
      <c r="E230" t="s">
        <v>13</v>
      </c>
      <c r="F230">
        <v>19</v>
      </c>
      <c r="G230" t="s">
        <v>440</v>
      </c>
      <c r="H230">
        <v>9772</v>
      </c>
      <c r="I230" t="s">
        <v>441</v>
      </c>
      <c r="J230">
        <v>11</v>
      </c>
      <c r="K230">
        <v>50</v>
      </c>
    </row>
    <row r="231" spans="1:11" x14ac:dyDescent="0.35">
      <c r="A231" t="s">
        <v>262</v>
      </c>
      <c r="B231" t="s">
        <v>19</v>
      </c>
      <c r="C231" t="s">
        <v>26</v>
      </c>
      <c r="D231" t="s">
        <v>60</v>
      </c>
      <c r="E231" t="s">
        <v>13</v>
      </c>
      <c r="F231">
        <v>24</v>
      </c>
      <c r="G231" t="s">
        <v>439</v>
      </c>
      <c r="H231">
        <v>6442</v>
      </c>
      <c r="I231" t="s">
        <v>442</v>
      </c>
      <c r="J231">
        <v>3</v>
      </c>
      <c r="K231">
        <v>83</v>
      </c>
    </row>
    <row r="232" spans="1:11" x14ac:dyDescent="0.35">
      <c r="A232" t="s">
        <v>263</v>
      </c>
      <c r="B232" t="s">
        <v>44</v>
      </c>
      <c r="C232" t="s">
        <v>11</v>
      </c>
      <c r="D232" t="s">
        <v>20</v>
      </c>
      <c r="E232" t="s">
        <v>13</v>
      </c>
      <c r="F232">
        <v>65</v>
      </c>
      <c r="G232" t="s">
        <v>436</v>
      </c>
      <c r="H232">
        <v>14079</v>
      </c>
      <c r="I232" t="s">
        <v>441</v>
      </c>
      <c r="J232">
        <v>5</v>
      </c>
      <c r="K232">
        <v>74</v>
      </c>
    </row>
    <row r="233" spans="1:11" x14ac:dyDescent="0.35">
      <c r="A233" t="s">
        <v>264</v>
      </c>
      <c r="B233" t="s">
        <v>49</v>
      </c>
      <c r="C233" t="s">
        <v>23</v>
      </c>
      <c r="D233" t="s">
        <v>12</v>
      </c>
      <c r="E233" t="s">
        <v>13</v>
      </c>
      <c r="F233">
        <v>48</v>
      </c>
      <c r="G233" t="s">
        <v>438</v>
      </c>
      <c r="H233">
        <v>719</v>
      </c>
      <c r="I233" t="s">
        <v>442</v>
      </c>
      <c r="J233">
        <v>3</v>
      </c>
      <c r="K233">
        <v>51</v>
      </c>
    </row>
    <row r="234" spans="1:11" x14ac:dyDescent="0.35">
      <c r="A234" t="s">
        <v>265</v>
      </c>
      <c r="B234" t="s">
        <v>44</v>
      </c>
      <c r="C234" t="s">
        <v>11</v>
      </c>
      <c r="D234" t="s">
        <v>29</v>
      </c>
      <c r="E234" t="s">
        <v>17</v>
      </c>
      <c r="F234">
        <v>85</v>
      </c>
      <c r="G234" t="s">
        <v>436</v>
      </c>
      <c r="H234">
        <v>15293</v>
      </c>
      <c r="I234" t="s">
        <v>441</v>
      </c>
      <c r="J234">
        <v>6</v>
      </c>
      <c r="K234">
        <v>99</v>
      </c>
    </row>
    <row r="235" spans="1:11" x14ac:dyDescent="0.35">
      <c r="A235" t="s">
        <v>266</v>
      </c>
      <c r="B235" t="s">
        <v>19</v>
      </c>
      <c r="C235" t="s">
        <v>26</v>
      </c>
      <c r="D235" t="s">
        <v>42</v>
      </c>
      <c r="E235" t="s">
        <v>17</v>
      </c>
      <c r="F235">
        <v>70</v>
      </c>
      <c r="G235" t="s">
        <v>436</v>
      </c>
      <c r="H235">
        <v>3773</v>
      </c>
      <c r="I235" t="s">
        <v>442</v>
      </c>
      <c r="J235">
        <v>4</v>
      </c>
      <c r="K235">
        <v>99</v>
      </c>
    </row>
    <row r="236" spans="1:11" x14ac:dyDescent="0.35">
      <c r="A236" t="s">
        <v>267</v>
      </c>
      <c r="B236" t="s">
        <v>10</v>
      </c>
      <c r="C236" t="s">
        <v>23</v>
      </c>
      <c r="D236" t="s">
        <v>34</v>
      </c>
      <c r="E236" t="s">
        <v>13</v>
      </c>
      <c r="F236">
        <v>18</v>
      </c>
      <c r="G236" t="s">
        <v>440</v>
      </c>
      <c r="H236">
        <v>329</v>
      </c>
      <c r="I236" t="s">
        <v>442</v>
      </c>
      <c r="J236">
        <v>3</v>
      </c>
      <c r="K236">
        <v>99</v>
      </c>
    </row>
    <row r="237" spans="1:11" x14ac:dyDescent="0.35">
      <c r="A237" t="s">
        <v>268</v>
      </c>
      <c r="B237" t="s">
        <v>25</v>
      </c>
      <c r="C237" t="s">
        <v>11</v>
      </c>
      <c r="D237" t="s">
        <v>27</v>
      </c>
      <c r="E237" t="s">
        <v>17</v>
      </c>
      <c r="F237">
        <v>26</v>
      </c>
      <c r="G237" t="s">
        <v>439</v>
      </c>
      <c r="H237">
        <v>19512</v>
      </c>
      <c r="I237" t="s">
        <v>441</v>
      </c>
      <c r="J237">
        <v>5</v>
      </c>
      <c r="K237">
        <v>70</v>
      </c>
    </row>
    <row r="238" spans="1:11" x14ac:dyDescent="0.35">
      <c r="A238" t="s">
        <v>269</v>
      </c>
      <c r="B238" t="s">
        <v>44</v>
      </c>
      <c r="C238" t="s">
        <v>23</v>
      </c>
      <c r="D238" t="s">
        <v>20</v>
      </c>
      <c r="E238" t="s">
        <v>17</v>
      </c>
      <c r="F238">
        <v>5</v>
      </c>
      <c r="G238" t="s">
        <v>435</v>
      </c>
      <c r="H238">
        <v>1742</v>
      </c>
      <c r="I238" t="s">
        <v>442</v>
      </c>
      <c r="J238">
        <v>3</v>
      </c>
      <c r="K238">
        <v>62</v>
      </c>
    </row>
    <row r="239" spans="1:11" x14ac:dyDescent="0.35">
      <c r="A239" t="s">
        <v>270</v>
      </c>
      <c r="B239" t="s">
        <v>44</v>
      </c>
      <c r="C239" t="s">
        <v>26</v>
      </c>
      <c r="D239" t="s">
        <v>12</v>
      </c>
      <c r="E239" t="s">
        <v>13</v>
      </c>
      <c r="F239">
        <v>43</v>
      </c>
      <c r="G239" t="s">
        <v>434</v>
      </c>
      <c r="H239">
        <v>3238</v>
      </c>
      <c r="I239" t="s">
        <v>442</v>
      </c>
      <c r="J239">
        <v>3</v>
      </c>
      <c r="K239">
        <v>73</v>
      </c>
    </row>
    <row r="240" spans="1:11" x14ac:dyDescent="0.35">
      <c r="A240" t="s">
        <v>271</v>
      </c>
      <c r="B240" t="s">
        <v>25</v>
      </c>
      <c r="C240" t="s">
        <v>23</v>
      </c>
      <c r="D240" t="s">
        <v>34</v>
      </c>
      <c r="E240" t="s">
        <v>13</v>
      </c>
      <c r="F240">
        <v>50</v>
      </c>
      <c r="G240" t="s">
        <v>438</v>
      </c>
      <c r="H240">
        <v>894</v>
      </c>
      <c r="I240" t="s">
        <v>442</v>
      </c>
      <c r="J240">
        <v>1</v>
      </c>
      <c r="K240">
        <v>81</v>
      </c>
    </row>
    <row r="241" spans="1:11" x14ac:dyDescent="0.35">
      <c r="A241" t="s">
        <v>272</v>
      </c>
      <c r="B241" t="s">
        <v>10</v>
      </c>
      <c r="C241" t="s">
        <v>23</v>
      </c>
      <c r="D241" t="s">
        <v>29</v>
      </c>
      <c r="E241" t="s">
        <v>13</v>
      </c>
      <c r="F241">
        <v>67</v>
      </c>
      <c r="G241" t="s">
        <v>436</v>
      </c>
      <c r="H241">
        <v>746</v>
      </c>
      <c r="I241" t="s">
        <v>442</v>
      </c>
      <c r="J241">
        <v>1</v>
      </c>
      <c r="K241">
        <v>96</v>
      </c>
    </row>
    <row r="242" spans="1:11" x14ac:dyDescent="0.35">
      <c r="A242" t="s">
        <v>273</v>
      </c>
      <c r="B242" t="s">
        <v>25</v>
      </c>
      <c r="C242" t="s">
        <v>11</v>
      </c>
      <c r="D242" t="s">
        <v>47</v>
      </c>
      <c r="E242" t="s">
        <v>13</v>
      </c>
      <c r="F242">
        <v>24</v>
      </c>
      <c r="G242" t="s">
        <v>439</v>
      </c>
      <c r="H242">
        <v>13937</v>
      </c>
      <c r="I242" t="s">
        <v>441</v>
      </c>
      <c r="J242">
        <v>9</v>
      </c>
      <c r="K242">
        <v>70</v>
      </c>
    </row>
    <row r="243" spans="1:11" x14ac:dyDescent="0.35">
      <c r="A243" t="s">
        <v>274</v>
      </c>
      <c r="B243" t="s">
        <v>15</v>
      </c>
      <c r="C243" t="s">
        <v>11</v>
      </c>
      <c r="D243" t="s">
        <v>29</v>
      </c>
      <c r="E243" t="s">
        <v>13</v>
      </c>
      <c r="F243">
        <v>40</v>
      </c>
      <c r="G243" t="s">
        <v>434</v>
      </c>
      <c r="H243">
        <v>12305</v>
      </c>
      <c r="I243" t="s">
        <v>441</v>
      </c>
      <c r="J243">
        <v>14</v>
      </c>
      <c r="K243">
        <v>95</v>
      </c>
    </row>
    <row r="244" spans="1:11" x14ac:dyDescent="0.35">
      <c r="A244" t="s">
        <v>275</v>
      </c>
      <c r="B244" t="s">
        <v>25</v>
      </c>
      <c r="C244" t="s">
        <v>40</v>
      </c>
      <c r="D244" t="s">
        <v>34</v>
      </c>
      <c r="E244" t="s">
        <v>17</v>
      </c>
      <c r="F244">
        <v>6</v>
      </c>
      <c r="G244" t="s">
        <v>437</v>
      </c>
      <c r="H244">
        <v>3388</v>
      </c>
      <c r="I244" t="s">
        <v>442</v>
      </c>
      <c r="J244">
        <v>5</v>
      </c>
      <c r="K244">
        <v>77</v>
      </c>
    </row>
    <row r="245" spans="1:11" x14ac:dyDescent="0.35">
      <c r="A245" t="s">
        <v>276</v>
      </c>
      <c r="B245" t="s">
        <v>44</v>
      </c>
      <c r="C245" t="s">
        <v>11</v>
      </c>
      <c r="D245" t="s">
        <v>31</v>
      </c>
      <c r="E245" t="s">
        <v>13</v>
      </c>
      <c r="F245">
        <v>52</v>
      </c>
      <c r="G245" t="s">
        <v>438</v>
      </c>
      <c r="H245">
        <v>10952</v>
      </c>
      <c r="I245" t="s">
        <v>441</v>
      </c>
      <c r="J245">
        <v>13</v>
      </c>
      <c r="K245">
        <v>97</v>
      </c>
    </row>
    <row r="246" spans="1:11" x14ac:dyDescent="0.35">
      <c r="A246" t="s">
        <v>277</v>
      </c>
      <c r="B246" t="s">
        <v>10</v>
      </c>
      <c r="C246" t="s">
        <v>40</v>
      </c>
      <c r="D246" t="s">
        <v>12</v>
      </c>
      <c r="E246" t="s">
        <v>17</v>
      </c>
      <c r="F246">
        <v>78</v>
      </c>
      <c r="G246" t="s">
        <v>436</v>
      </c>
      <c r="H246">
        <v>4089</v>
      </c>
      <c r="I246" t="s">
        <v>442</v>
      </c>
      <c r="J246">
        <v>1</v>
      </c>
      <c r="K246">
        <v>58</v>
      </c>
    </row>
    <row r="247" spans="1:11" x14ac:dyDescent="0.35">
      <c r="A247" t="s">
        <v>278</v>
      </c>
      <c r="B247" t="s">
        <v>15</v>
      </c>
      <c r="C247" t="s">
        <v>40</v>
      </c>
      <c r="D247" t="s">
        <v>29</v>
      </c>
      <c r="E247" t="s">
        <v>17</v>
      </c>
      <c r="F247">
        <v>73</v>
      </c>
      <c r="G247" t="s">
        <v>436</v>
      </c>
      <c r="H247">
        <v>765</v>
      </c>
      <c r="I247" t="s">
        <v>442</v>
      </c>
      <c r="J247">
        <v>5</v>
      </c>
      <c r="K247">
        <v>59</v>
      </c>
    </row>
    <row r="248" spans="1:11" x14ac:dyDescent="0.35">
      <c r="A248" t="s">
        <v>279</v>
      </c>
      <c r="B248" t="s">
        <v>10</v>
      </c>
      <c r="C248" t="s">
        <v>23</v>
      </c>
      <c r="D248" t="s">
        <v>29</v>
      </c>
      <c r="E248" t="s">
        <v>17</v>
      </c>
      <c r="F248">
        <v>10</v>
      </c>
      <c r="G248" t="s">
        <v>437</v>
      </c>
      <c r="H248">
        <v>1375</v>
      </c>
      <c r="I248" t="s">
        <v>442</v>
      </c>
      <c r="J248">
        <v>1</v>
      </c>
      <c r="K248">
        <v>83</v>
      </c>
    </row>
    <row r="249" spans="1:11" x14ac:dyDescent="0.35">
      <c r="A249" t="s">
        <v>280</v>
      </c>
      <c r="B249" t="s">
        <v>44</v>
      </c>
      <c r="C249" t="s">
        <v>23</v>
      </c>
      <c r="D249" t="s">
        <v>29</v>
      </c>
      <c r="E249" t="s">
        <v>13</v>
      </c>
      <c r="F249">
        <v>32</v>
      </c>
      <c r="G249" t="s">
        <v>434</v>
      </c>
      <c r="H249">
        <v>432</v>
      </c>
      <c r="I249" t="s">
        <v>442</v>
      </c>
      <c r="J249">
        <v>1</v>
      </c>
      <c r="K249">
        <v>97</v>
      </c>
    </row>
    <row r="250" spans="1:11" x14ac:dyDescent="0.35">
      <c r="A250" t="s">
        <v>281</v>
      </c>
      <c r="B250" t="s">
        <v>22</v>
      </c>
      <c r="C250" t="s">
        <v>23</v>
      </c>
      <c r="D250" t="s">
        <v>20</v>
      </c>
      <c r="E250" t="s">
        <v>17</v>
      </c>
      <c r="F250">
        <v>72</v>
      </c>
      <c r="G250" t="s">
        <v>436</v>
      </c>
      <c r="H250">
        <v>441</v>
      </c>
      <c r="I250" t="s">
        <v>442</v>
      </c>
      <c r="J250">
        <v>2</v>
      </c>
      <c r="K250">
        <v>99</v>
      </c>
    </row>
    <row r="251" spans="1:11" x14ac:dyDescent="0.35">
      <c r="A251" t="s">
        <v>282</v>
      </c>
      <c r="B251" t="s">
        <v>44</v>
      </c>
      <c r="C251" t="s">
        <v>23</v>
      </c>
      <c r="D251" t="s">
        <v>60</v>
      </c>
      <c r="E251" t="s">
        <v>37</v>
      </c>
      <c r="F251">
        <v>37</v>
      </c>
      <c r="G251" t="s">
        <v>434</v>
      </c>
      <c r="H251">
        <v>1621</v>
      </c>
      <c r="I251" t="s">
        <v>442</v>
      </c>
      <c r="J251">
        <v>2</v>
      </c>
      <c r="K251">
        <v>62</v>
      </c>
    </row>
    <row r="252" spans="1:11" x14ac:dyDescent="0.35">
      <c r="A252" t="s">
        <v>283</v>
      </c>
      <c r="B252" t="s">
        <v>15</v>
      </c>
      <c r="C252" t="s">
        <v>40</v>
      </c>
      <c r="D252" t="s">
        <v>31</v>
      </c>
      <c r="E252" t="s">
        <v>17</v>
      </c>
      <c r="F252">
        <v>57</v>
      </c>
      <c r="G252" t="s">
        <v>438</v>
      </c>
      <c r="H252">
        <v>1219</v>
      </c>
      <c r="I252" t="s">
        <v>442</v>
      </c>
      <c r="J252">
        <v>3</v>
      </c>
      <c r="K252">
        <v>92</v>
      </c>
    </row>
    <row r="253" spans="1:11" x14ac:dyDescent="0.35">
      <c r="A253" t="s">
        <v>284</v>
      </c>
      <c r="B253" t="s">
        <v>44</v>
      </c>
      <c r="C253" t="s">
        <v>11</v>
      </c>
      <c r="D253" t="s">
        <v>20</v>
      </c>
      <c r="E253" t="s">
        <v>13</v>
      </c>
      <c r="F253">
        <v>39</v>
      </c>
      <c r="G253" t="s">
        <v>434</v>
      </c>
      <c r="H253">
        <v>18948</v>
      </c>
      <c r="I253" t="s">
        <v>441</v>
      </c>
      <c r="J253">
        <v>7</v>
      </c>
      <c r="K253">
        <v>95</v>
      </c>
    </row>
    <row r="254" spans="1:11" x14ac:dyDescent="0.35">
      <c r="A254" t="s">
        <v>285</v>
      </c>
      <c r="B254" t="s">
        <v>10</v>
      </c>
      <c r="C254" t="s">
        <v>40</v>
      </c>
      <c r="D254" t="s">
        <v>29</v>
      </c>
      <c r="E254" t="s">
        <v>13</v>
      </c>
      <c r="F254">
        <v>16</v>
      </c>
      <c r="G254" t="s">
        <v>440</v>
      </c>
      <c r="H254">
        <v>2146</v>
      </c>
      <c r="I254" t="s">
        <v>442</v>
      </c>
      <c r="J254">
        <v>2</v>
      </c>
      <c r="K254">
        <v>65</v>
      </c>
    </row>
    <row r="255" spans="1:11" x14ac:dyDescent="0.35">
      <c r="A255" t="s">
        <v>286</v>
      </c>
      <c r="B255" t="s">
        <v>49</v>
      </c>
      <c r="C255" t="s">
        <v>23</v>
      </c>
      <c r="D255" t="s">
        <v>12</v>
      </c>
      <c r="E255" t="s">
        <v>17</v>
      </c>
      <c r="F255">
        <v>74</v>
      </c>
      <c r="G255" t="s">
        <v>436</v>
      </c>
      <c r="H255">
        <v>955</v>
      </c>
      <c r="I255" t="s">
        <v>442</v>
      </c>
      <c r="J255">
        <v>2</v>
      </c>
      <c r="K255">
        <v>85</v>
      </c>
    </row>
    <row r="256" spans="1:11" x14ac:dyDescent="0.35">
      <c r="A256" t="s">
        <v>287</v>
      </c>
      <c r="B256" t="s">
        <v>22</v>
      </c>
      <c r="C256" t="s">
        <v>11</v>
      </c>
      <c r="D256" t="s">
        <v>31</v>
      </c>
      <c r="E256" t="s">
        <v>17</v>
      </c>
      <c r="F256">
        <v>62</v>
      </c>
      <c r="G256" t="s">
        <v>436</v>
      </c>
      <c r="H256">
        <v>13612</v>
      </c>
      <c r="I256" t="s">
        <v>441</v>
      </c>
      <c r="J256">
        <v>11</v>
      </c>
      <c r="K256">
        <v>99</v>
      </c>
    </row>
    <row r="257" spans="1:11" x14ac:dyDescent="0.35">
      <c r="A257" t="s">
        <v>288</v>
      </c>
      <c r="B257" t="s">
        <v>25</v>
      </c>
      <c r="C257" t="s">
        <v>11</v>
      </c>
      <c r="D257" t="s">
        <v>42</v>
      </c>
      <c r="E257" t="s">
        <v>13</v>
      </c>
      <c r="F257">
        <v>83</v>
      </c>
      <c r="G257" t="s">
        <v>436</v>
      </c>
      <c r="H257">
        <v>6215</v>
      </c>
      <c r="I257" t="s">
        <v>442</v>
      </c>
      <c r="J257">
        <v>12</v>
      </c>
      <c r="K257">
        <v>79</v>
      </c>
    </row>
    <row r="258" spans="1:11" x14ac:dyDescent="0.35">
      <c r="A258" t="s">
        <v>289</v>
      </c>
      <c r="B258" t="s">
        <v>10</v>
      </c>
      <c r="C258" t="s">
        <v>26</v>
      </c>
      <c r="D258" t="s">
        <v>42</v>
      </c>
      <c r="E258" t="s">
        <v>13</v>
      </c>
      <c r="F258">
        <v>71</v>
      </c>
      <c r="G258" t="s">
        <v>436</v>
      </c>
      <c r="H258">
        <v>6241</v>
      </c>
      <c r="I258" t="s">
        <v>442</v>
      </c>
      <c r="J258">
        <v>4</v>
      </c>
      <c r="K258">
        <v>99</v>
      </c>
    </row>
    <row r="259" spans="1:11" x14ac:dyDescent="0.35">
      <c r="A259" t="s">
        <v>290</v>
      </c>
      <c r="B259" t="s">
        <v>22</v>
      </c>
      <c r="C259" t="s">
        <v>23</v>
      </c>
      <c r="D259" t="s">
        <v>20</v>
      </c>
      <c r="E259" t="s">
        <v>13</v>
      </c>
      <c r="F259">
        <v>8</v>
      </c>
      <c r="G259" t="s">
        <v>437</v>
      </c>
      <c r="H259">
        <v>1902</v>
      </c>
      <c r="I259" t="s">
        <v>442</v>
      </c>
      <c r="J259">
        <v>1</v>
      </c>
      <c r="K259">
        <v>83</v>
      </c>
    </row>
    <row r="260" spans="1:11" x14ac:dyDescent="0.35">
      <c r="A260" t="s">
        <v>291</v>
      </c>
      <c r="B260" t="s">
        <v>22</v>
      </c>
      <c r="C260" t="s">
        <v>26</v>
      </c>
      <c r="D260" t="s">
        <v>42</v>
      </c>
      <c r="E260" t="s">
        <v>17</v>
      </c>
      <c r="F260">
        <v>29</v>
      </c>
      <c r="G260" t="s">
        <v>439</v>
      </c>
      <c r="H260">
        <v>3834</v>
      </c>
      <c r="I260" t="s">
        <v>442</v>
      </c>
      <c r="J260">
        <v>10</v>
      </c>
      <c r="K260">
        <v>68</v>
      </c>
    </row>
    <row r="261" spans="1:11" x14ac:dyDescent="0.35">
      <c r="A261" t="s">
        <v>292</v>
      </c>
      <c r="B261" t="s">
        <v>49</v>
      </c>
      <c r="C261" t="s">
        <v>11</v>
      </c>
      <c r="D261" t="s">
        <v>27</v>
      </c>
      <c r="E261" t="s">
        <v>17</v>
      </c>
      <c r="F261">
        <v>71</v>
      </c>
      <c r="G261" t="s">
        <v>436</v>
      </c>
      <c r="H261">
        <v>9496</v>
      </c>
      <c r="I261" t="s">
        <v>441</v>
      </c>
      <c r="J261">
        <v>7</v>
      </c>
      <c r="K261">
        <v>90</v>
      </c>
    </row>
    <row r="262" spans="1:11" x14ac:dyDescent="0.35">
      <c r="A262" t="s">
        <v>293</v>
      </c>
      <c r="B262" t="s">
        <v>44</v>
      </c>
      <c r="C262" t="s">
        <v>11</v>
      </c>
      <c r="D262" t="s">
        <v>20</v>
      </c>
      <c r="E262" t="s">
        <v>13</v>
      </c>
      <c r="F262">
        <v>76</v>
      </c>
      <c r="G262" t="s">
        <v>436</v>
      </c>
      <c r="H262">
        <v>14513</v>
      </c>
      <c r="I262" t="s">
        <v>441</v>
      </c>
      <c r="J262">
        <v>7</v>
      </c>
      <c r="K262">
        <v>60</v>
      </c>
    </row>
    <row r="263" spans="1:11" x14ac:dyDescent="0.35">
      <c r="A263" t="s">
        <v>294</v>
      </c>
      <c r="B263" t="s">
        <v>10</v>
      </c>
      <c r="C263" t="s">
        <v>26</v>
      </c>
      <c r="D263" t="s">
        <v>16</v>
      </c>
      <c r="E263" t="s">
        <v>17</v>
      </c>
      <c r="F263">
        <v>4</v>
      </c>
      <c r="G263" t="s">
        <v>435</v>
      </c>
      <c r="H263">
        <v>1665</v>
      </c>
      <c r="I263" t="s">
        <v>442</v>
      </c>
      <c r="J263">
        <v>2</v>
      </c>
      <c r="K263">
        <v>91</v>
      </c>
    </row>
    <row r="264" spans="1:11" x14ac:dyDescent="0.35">
      <c r="A264" t="s">
        <v>295</v>
      </c>
      <c r="B264" t="s">
        <v>49</v>
      </c>
      <c r="C264" t="s">
        <v>26</v>
      </c>
      <c r="D264" t="s">
        <v>60</v>
      </c>
      <c r="E264" t="s">
        <v>13</v>
      </c>
      <c r="F264">
        <v>54</v>
      </c>
      <c r="G264" t="s">
        <v>438</v>
      </c>
      <c r="H264">
        <v>6063</v>
      </c>
      <c r="I264" t="s">
        <v>442</v>
      </c>
      <c r="J264">
        <v>2</v>
      </c>
      <c r="K264">
        <v>81</v>
      </c>
    </row>
    <row r="265" spans="1:11" x14ac:dyDescent="0.35">
      <c r="A265" t="s">
        <v>296</v>
      </c>
      <c r="B265" t="s">
        <v>10</v>
      </c>
      <c r="C265" t="s">
        <v>26</v>
      </c>
      <c r="D265" t="s">
        <v>27</v>
      </c>
      <c r="E265" t="s">
        <v>17</v>
      </c>
      <c r="F265">
        <v>88</v>
      </c>
      <c r="G265" t="s">
        <v>436</v>
      </c>
      <c r="H265">
        <v>4326</v>
      </c>
      <c r="I265" t="s">
        <v>442</v>
      </c>
      <c r="J265">
        <v>6</v>
      </c>
      <c r="K265">
        <v>79</v>
      </c>
    </row>
    <row r="266" spans="1:11" x14ac:dyDescent="0.35">
      <c r="A266" t="s">
        <v>297</v>
      </c>
      <c r="B266" t="s">
        <v>15</v>
      </c>
      <c r="C266" t="s">
        <v>11</v>
      </c>
      <c r="D266" t="s">
        <v>42</v>
      </c>
      <c r="E266" t="s">
        <v>17</v>
      </c>
      <c r="F266">
        <v>62</v>
      </c>
      <c r="G266" t="s">
        <v>436</v>
      </c>
      <c r="H266">
        <v>12609</v>
      </c>
      <c r="I266" t="s">
        <v>441</v>
      </c>
      <c r="J266">
        <v>8</v>
      </c>
      <c r="K266">
        <v>71</v>
      </c>
    </row>
    <row r="267" spans="1:11" x14ac:dyDescent="0.35">
      <c r="A267" t="s">
        <v>298</v>
      </c>
      <c r="B267" t="s">
        <v>19</v>
      </c>
      <c r="C267" t="s">
        <v>40</v>
      </c>
      <c r="D267" t="s">
        <v>29</v>
      </c>
      <c r="E267" t="s">
        <v>13</v>
      </c>
      <c r="F267">
        <v>41</v>
      </c>
      <c r="G267" t="s">
        <v>434</v>
      </c>
      <c r="H267">
        <v>3329</v>
      </c>
      <c r="I267" t="s">
        <v>442</v>
      </c>
      <c r="J267">
        <v>4</v>
      </c>
      <c r="K267">
        <v>58</v>
      </c>
    </row>
    <row r="268" spans="1:11" x14ac:dyDescent="0.35">
      <c r="A268" t="s">
        <v>299</v>
      </c>
      <c r="B268" t="s">
        <v>49</v>
      </c>
      <c r="C268" t="s">
        <v>26</v>
      </c>
      <c r="D268" t="s">
        <v>20</v>
      </c>
      <c r="E268" t="s">
        <v>13</v>
      </c>
      <c r="F268">
        <v>41</v>
      </c>
      <c r="G268" t="s">
        <v>434</v>
      </c>
      <c r="H268">
        <v>2980</v>
      </c>
      <c r="I268" t="s">
        <v>442</v>
      </c>
      <c r="J268">
        <v>9</v>
      </c>
      <c r="K268">
        <v>57</v>
      </c>
    </row>
    <row r="269" spans="1:11" x14ac:dyDescent="0.35">
      <c r="A269" t="s">
        <v>300</v>
      </c>
      <c r="B269" t="s">
        <v>44</v>
      </c>
      <c r="C269" t="s">
        <v>23</v>
      </c>
      <c r="D269" t="s">
        <v>60</v>
      </c>
      <c r="E269" t="s">
        <v>17</v>
      </c>
      <c r="F269">
        <v>7</v>
      </c>
      <c r="G269" t="s">
        <v>437</v>
      </c>
      <c r="H269">
        <v>794</v>
      </c>
      <c r="I269" t="s">
        <v>442</v>
      </c>
      <c r="J269">
        <v>2</v>
      </c>
      <c r="K269">
        <v>89</v>
      </c>
    </row>
    <row r="270" spans="1:11" x14ac:dyDescent="0.35">
      <c r="A270" t="s">
        <v>301</v>
      </c>
      <c r="B270" t="s">
        <v>25</v>
      </c>
      <c r="C270" t="s">
        <v>40</v>
      </c>
      <c r="D270" t="s">
        <v>42</v>
      </c>
      <c r="E270" t="s">
        <v>13</v>
      </c>
      <c r="F270">
        <v>74</v>
      </c>
      <c r="G270" t="s">
        <v>436</v>
      </c>
      <c r="H270">
        <v>3061</v>
      </c>
      <c r="I270" t="s">
        <v>442</v>
      </c>
      <c r="J270">
        <v>2</v>
      </c>
      <c r="K270">
        <v>98</v>
      </c>
    </row>
    <row r="271" spans="1:11" x14ac:dyDescent="0.35">
      <c r="A271" t="s">
        <v>302</v>
      </c>
      <c r="B271" t="s">
        <v>22</v>
      </c>
      <c r="C271" t="s">
        <v>23</v>
      </c>
      <c r="D271" t="s">
        <v>20</v>
      </c>
      <c r="E271" t="s">
        <v>17</v>
      </c>
      <c r="F271">
        <v>40</v>
      </c>
      <c r="G271" t="s">
        <v>434</v>
      </c>
      <c r="H271">
        <v>1218</v>
      </c>
      <c r="I271" t="s">
        <v>442</v>
      </c>
      <c r="J271">
        <v>1</v>
      </c>
      <c r="K271">
        <v>55</v>
      </c>
    </row>
    <row r="272" spans="1:11" x14ac:dyDescent="0.35">
      <c r="A272" t="s">
        <v>303</v>
      </c>
      <c r="B272" t="s">
        <v>25</v>
      </c>
      <c r="C272" t="s">
        <v>23</v>
      </c>
      <c r="D272" t="s">
        <v>60</v>
      </c>
      <c r="E272" t="s">
        <v>17</v>
      </c>
      <c r="F272">
        <v>46</v>
      </c>
      <c r="G272" t="s">
        <v>438</v>
      </c>
      <c r="H272">
        <v>299</v>
      </c>
      <c r="I272" t="s">
        <v>442</v>
      </c>
      <c r="J272">
        <v>1</v>
      </c>
      <c r="K272">
        <v>68</v>
      </c>
    </row>
    <row r="273" spans="1:11" x14ac:dyDescent="0.35">
      <c r="A273" t="s">
        <v>304</v>
      </c>
      <c r="B273" t="s">
        <v>25</v>
      </c>
      <c r="C273" t="s">
        <v>23</v>
      </c>
      <c r="D273" t="s">
        <v>27</v>
      </c>
      <c r="E273" t="s">
        <v>13</v>
      </c>
      <c r="F273">
        <v>14</v>
      </c>
      <c r="G273" t="s">
        <v>440</v>
      </c>
      <c r="H273">
        <v>1082</v>
      </c>
      <c r="I273" t="s">
        <v>442</v>
      </c>
      <c r="J273">
        <v>1</v>
      </c>
      <c r="K273">
        <v>66</v>
      </c>
    </row>
    <row r="274" spans="1:11" x14ac:dyDescent="0.35">
      <c r="A274" t="s">
        <v>305</v>
      </c>
      <c r="B274" t="s">
        <v>10</v>
      </c>
      <c r="C274" t="s">
        <v>26</v>
      </c>
      <c r="D274" t="s">
        <v>47</v>
      </c>
      <c r="E274" t="s">
        <v>17</v>
      </c>
      <c r="F274">
        <v>52</v>
      </c>
      <c r="G274" t="s">
        <v>438</v>
      </c>
      <c r="H274">
        <v>1419</v>
      </c>
      <c r="I274" t="s">
        <v>442</v>
      </c>
      <c r="J274">
        <v>10</v>
      </c>
      <c r="K274">
        <v>62</v>
      </c>
    </row>
    <row r="275" spans="1:11" x14ac:dyDescent="0.35">
      <c r="A275" t="s">
        <v>306</v>
      </c>
      <c r="B275" t="s">
        <v>44</v>
      </c>
      <c r="C275" t="s">
        <v>26</v>
      </c>
      <c r="D275" t="s">
        <v>31</v>
      </c>
      <c r="E275" t="s">
        <v>17</v>
      </c>
      <c r="F275">
        <v>58</v>
      </c>
      <c r="G275" t="s">
        <v>438</v>
      </c>
      <c r="H275">
        <v>5504</v>
      </c>
      <c r="I275" t="s">
        <v>442</v>
      </c>
      <c r="J275">
        <v>6</v>
      </c>
      <c r="K275">
        <v>89</v>
      </c>
    </row>
    <row r="276" spans="1:11" x14ac:dyDescent="0.35">
      <c r="A276" t="s">
        <v>307</v>
      </c>
      <c r="B276" t="s">
        <v>10</v>
      </c>
      <c r="C276" t="s">
        <v>11</v>
      </c>
      <c r="D276" t="s">
        <v>42</v>
      </c>
      <c r="E276" t="s">
        <v>13</v>
      </c>
      <c r="F276">
        <v>51</v>
      </c>
      <c r="G276" t="s">
        <v>438</v>
      </c>
      <c r="H276">
        <v>11114</v>
      </c>
      <c r="I276" t="s">
        <v>441</v>
      </c>
      <c r="J276">
        <v>10</v>
      </c>
      <c r="K276">
        <v>85</v>
      </c>
    </row>
    <row r="277" spans="1:11" x14ac:dyDescent="0.35">
      <c r="A277" t="s">
        <v>308</v>
      </c>
      <c r="B277" t="s">
        <v>44</v>
      </c>
      <c r="C277" t="s">
        <v>40</v>
      </c>
      <c r="D277" t="s">
        <v>60</v>
      </c>
      <c r="E277" t="s">
        <v>13</v>
      </c>
      <c r="F277">
        <v>52</v>
      </c>
      <c r="G277" t="s">
        <v>438</v>
      </c>
      <c r="H277">
        <v>4596</v>
      </c>
      <c r="I277" t="s">
        <v>442</v>
      </c>
      <c r="J277">
        <v>1</v>
      </c>
      <c r="K277">
        <v>52</v>
      </c>
    </row>
    <row r="278" spans="1:11" x14ac:dyDescent="0.35">
      <c r="A278" t="s">
        <v>309</v>
      </c>
      <c r="B278" t="s">
        <v>15</v>
      </c>
      <c r="C278" t="s">
        <v>40</v>
      </c>
      <c r="D278" t="s">
        <v>29</v>
      </c>
      <c r="E278" t="s">
        <v>13</v>
      </c>
      <c r="F278">
        <v>67</v>
      </c>
      <c r="G278" t="s">
        <v>436</v>
      </c>
      <c r="H278">
        <v>4243</v>
      </c>
      <c r="I278" t="s">
        <v>442</v>
      </c>
      <c r="J278">
        <v>2</v>
      </c>
      <c r="K278">
        <v>88</v>
      </c>
    </row>
    <row r="279" spans="1:11" x14ac:dyDescent="0.35">
      <c r="A279" t="s">
        <v>310</v>
      </c>
      <c r="B279" t="s">
        <v>19</v>
      </c>
      <c r="C279" t="s">
        <v>40</v>
      </c>
      <c r="D279" t="s">
        <v>29</v>
      </c>
      <c r="E279" t="s">
        <v>13</v>
      </c>
      <c r="F279">
        <v>41</v>
      </c>
      <c r="G279" t="s">
        <v>434</v>
      </c>
      <c r="H279">
        <v>1831</v>
      </c>
      <c r="I279" t="s">
        <v>442</v>
      </c>
      <c r="J279">
        <v>4</v>
      </c>
      <c r="K279">
        <v>89</v>
      </c>
    </row>
    <row r="280" spans="1:11" x14ac:dyDescent="0.35">
      <c r="A280" t="s">
        <v>311</v>
      </c>
      <c r="B280" t="s">
        <v>10</v>
      </c>
      <c r="C280" t="s">
        <v>26</v>
      </c>
      <c r="D280" t="s">
        <v>16</v>
      </c>
      <c r="E280" t="s">
        <v>17</v>
      </c>
      <c r="F280">
        <v>66</v>
      </c>
      <c r="G280" t="s">
        <v>436</v>
      </c>
      <c r="H280">
        <v>5360</v>
      </c>
      <c r="I280" t="s">
        <v>442</v>
      </c>
      <c r="J280">
        <v>9</v>
      </c>
      <c r="K280">
        <v>95</v>
      </c>
    </row>
    <row r="281" spans="1:11" x14ac:dyDescent="0.35">
      <c r="A281" t="s">
        <v>312</v>
      </c>
      <c r="B281" t="s">
        <v>19</v>
      </c>
      <c r="C281" t="s">
        <v>26</v>
      </c>
      <c r="D281" t="s">
        <v>34</v>
      </c>
      <c r="E281" t="s">
        <v>13</v>
      </c>
      <c r="F281">
        <v>48</v>
      </c>
      <c r="G281" t="s">
        <v>438</v>
      </c>
      <c r="H281">
        <v>3713</v>
      </c>
      <c r="I281" t="s">
        <v>442</v>
      </c>
      <c r="J281">
        <v>3</v>
      </c>
      <c r="K281">
        <v>76</v>
      </c>
    </row>
    <row r="282" spans="1:11" x14ac:dyDescent="0.35">
      <c r="A282" t="s">
        <v>313</v>
      </c>
      <c r="B282" t="s">
        <v>19</v>
      </c>
      <c r="C282" t="s">
        <v>26</v>
      </c>
      <c r="D282" t="s">
        <v>12</v>
      </c>
      <c r="E282" t="s">
        <v>13</v>
      </c>
      <c r="F282">
        <v>34</v>
      </c>
      <c r="G282" t="s">
        <v>434</v>
      </c>
      <c r="H282">
        <v>6370</v>
      </c>
      <c r="I282" t="s">
        <v>442</v>
      </c>
      <c r="J282">
        <v>5</v>
      </c>
      <c r="K282">
        <v>96</v>
      </c>
    </row>
    <row r="283" spans="1:11" x14ac:dyDescent="0.35">
      <c r="A283" t="s">
        <v>314</v>
      </c>
      <c r="B283" t="s">
        <v>15</v>
      </c>
      <c r="C283" t="s">
        <v>23</v>
      </c>
      <c r="D283" t="s">
        <v>42</v>
      </c>
      <c r="E283" t="s">
        <v>13</v>
      </c>
      <c r="F283">
        <v>80</v>
      </c>
      <c r="G283" t="s">
        <v>436</v>
      </c>
      <c r="H283">
        <v>1786</v>
      </c>
      <c r="I283" t="s">
        <v>442</v>
      </c>
      <c r="J283">
        <v>2</v>
      </c>
      <c r="K283">
        <v>59</v>
      </c>
    </row>
    <row r="284" spans="1:11" x14ac:dyDescent="0.35">
      <c r="A284" t="s">
        <v>315</v>
      </c>
      <c r="B284" t="s">
        <v>49</v>
      </c>
      <c r="C284" t="s">
        <v>40</v>
      </c>
      <c r="D284" t="s">
        <v>12</v>
      </c>
      <c r="E284" t="s">
        <v>13</v>
      </c>
      <c r="F284">
        <v>90</v>
      </c>
      <c r="G284" t="s">
        <v>436</v>
      </c>
      <c r="H284">
        <v>1400</v>
      </c>
      <c r="I284" t="s">
        <v>442</v>
      </c>
      <c r="J284">
        <v>2</v>
      </c>
      <c r="K284">
        <v>51</v>
      </c>
    </row>
    <row r="285" spans="1:11" x14ac:dyDescent="0.35">
      <c r="A285" t="s">
        <v>316</v>
      </c>
      <c r="B285" t="s">
        <v>25</v>
      </c>
      <c r="C285" t="s">
        <v>26</v>
      </c>
      <c r="D285" t="s">
        <v>47</v>
      </c>
      <c r="E285" t="s">
        <v>17</v>
      </c>
      <c r="F285">
        <v>89</v>
      </c>
      <c r="G285" t="s">
        <v>436</v>
      </c>
      <c r="H285">
        <v>2670</v>
      </c>
      <c r="I285" t="s">
        <v>442</v>
      </c>
      <c r="J285">
        <v>8</v>
      </c>
      <c r="K285">
        <v>82</v>
      </c>
    </row>
    <row r="286" spans="1:11" x14ac:dyDescent="0.35">
      <c r="A286" t="s">
        <v>317</v>
      </c>
      <c r="B286" t="s">
        <v>49</v>
      </c>
      <c r="C286" t="s">
        <v>23</v>
      </c>
      <c r="D286" t="s">
        <v>12</v>
      </c>
      <c r="E286" t="s">
        <v>13</v>
      </c>
      <c r="F286">
        <v>67</v>
      </c>
      <c r="G286" t="s">
        <v>436</v>
      </c>
      <c r="H286">
        <v>624</v>
      </c>
      <c r="I286" t="s">
        <v>442</v>
      </c>
      <c r="J286">
        <v>3</v>
      </c>
      <c r="K286">
        <v>70</v>
      </c>
    </row>
    <row r="287" spans="1:11" x14ac:dyDescent="0.35">
      <c r="A287" t="s">
        <v>318</v>
      </c>
      <c r="B287" t="s">
        <v>10</v>
      </c>
      <c r="C287" t="s">
        <v>23</v>
      </c>
      <c r="D287" t="s">
        <v>20</v>
      </c>
      <c r="E287" t="s">
        <v>17</v>
      </c>
      <c r="F287">
        <v>23</v>
      </c>
      <c r="G287" t="s">
        <v>439</v>
      </c>
      <c r="H287">
        <v>1141</v>
      </c>
      <c r="I287" t="s">
        <v>442</v>
      </c>
      <c r="J287">
        <v>3</v>
      </c>
      <c r="K287">
        <v>71</v>
      </c>
    </row>
    <row r="288" spans="1:11" x14ac:dyDescent="0.35">
      <c r="A288" t="s">
        <v>319</v>
      </c>
      <c r="B288" t="s">
        <v>19</v>
      </c>
      <c r="C288" t="s">
        <v>26</v>
      </c>
      <c r="D288" t="s">
        <v>27</v>
      </c>
      <c r="E288" t="s">
        <v>13</v>
      </c>
      <c r="F288">
        <v>25</v>
      </c>
      <c r="G288" t="s">
        <v>439</v>
      </c>
      <c r="H288">
        <v>3019</v>
      </c>
      <c r="I288" t="s">
        <v>442</v>
      </c>
      <c r="J288">
        <v>6</v>
      </c>
      <c r="K288">
        <v>85</v>
      </c>
    </row>
    <row r="289" spans="1:11" x14ac:dyDescent="0.35">
      <c r="A289" t="s">
        <v>320</v>
      </c>
      <c r="B289" t="s">
        <v>44</v>
      </c>
      <c r="C289" t="s">
        <v>40</v>
      </c>
      <c r="D289" t="s">
        <v>27</v>
      </c>
      <c r="E289" t="s">
        <v>13</v>
      </c>
      <c r="F289">
        <v>27</v>
      </c>
      <c r="G289" t="s">
        <v>439</v>
      </c>
      <c r="H289">
        <v>4505</v>
      </c>
      <c r="I289" t="s">
        <v>442</v>
      </c>
      <c r="J289">
        <v>3</v>
      </c>
      <c r="K289">
        <v>80</v>
      </c>
    </row>
    <row r="290" spans="1:11" x14ac:dyDescent="0.35">
      <c r="A290" t="s">
        <v>321</v>
      </c>
      <c r="B290" t="s">
        <v>44</v>
      </c>
      <c r="C290" t="s">
        <v>26</v>
      </c>
      <c r="D290" t="s">
        <v>27</v>
      </c>
      <c r="E290" t="s">
        <v>17</v>
      </c>
      <c r="F290">
        <v>87</v>
      </c>
      <c r="G290" t="s">
        <v>436</v>
      </c>
      <c r="H290">
        <v>5449</v>
      </c>
      <c r="I290" t="s">
        <v>442</v>
      </c>
      <c r="J290">
        <v>8</v>
      </c>
      <c r="K290">
        <v>75</v>
      </c>
    </row>
    <row r="291" spans="1:11" x14ac:dyDescent="0.35">
      <c r="A291" t="s">
        <v>322</v>
      </c>
      <c r="B291" t="s">
        <v>49</v>
      </c>
      <c r="C291" t="s">
        <v>26</v>
      </c>
      <c r="D291" t="s">
        <v>42</v>
      </c>
      <c r="E291" t="s">
        <v>17</v>
      </c>
      <c r="F291">
        <v>37</v>
      </c>
      <c r="G291" t="s">
        <v>434</v>
      </c>
      <c r="H291">
        <v>6850</v>
      </c>
      <c r="I291" t="s">
        <v>442</v>
      </c>
      <c r="J291">
        <v>3</v>
      </c>
      <c r="K291">
        <v>72</v>
      </c>
    </row>
    <row r="292" spans="1:11" x14ac:dyDescent="0.35">
      <c r="A292" t="s">
        <v>323</v>
      </c>
      <c r="B292" t="s">
        <v>25</v>
      </c>
      <c r="C292" t="s">
        <v>26</v>
      </c>
      <c r="D292" t="s">
        <v>34</v>
      </c>
      <c r="E292" t="s">
        <v>17</v>
      </c>
      <c r="F292">
        <v>69</v>
      </c>
      <c r="G292" t="s">
        <v>436</v>
      </c>
      <c r="H292">
        <v>3221</v>
      </c>
      <c r="I292" t="s">
        <v>442</v>
      </c>
      <c r="J292">
        <v>10</v>
      </c>
      <c r="K292">
        <v>94</v>
      </c>
    </row>
    <row r="293" spans="1:11" x14ac:dyDescent="0.35">
      <c r="A293" t="s">
        <v>324</v>
      </c>
      <c r="B293" t="s">
        <v>44</v>
      </c>
      <c r="C293" t="s">
        <v>40</v>
      </c>
      <c r="D293" t="s">
        <v>31</v>
      </c>
      <c r="E293" t="s">
        <v>13</v>
      </c>
      <c r="F293">
        <v>76</v>
      </c>
      <c r="G293" t="s">
        <v>436</v>
      </c>
      <c r="H293">
        <v>2460</v>
      </c>
      <c r="I293" t="s">
        <v>442</v>
      </c>
      <c r="J293">
        <v>2</v>
      </c>
      <c r="K293">
        <v>53</v>
      </c>
    </row>
    <row r="294" spans="1:11" x14ac:dyDescent="0.35">
      <c r="A294" t="s">
        <v>325</v>
      </c>
      <c r="B294" t="s">
        <v>10</v>
      </c>
      <c r="C294" t="s">
        <v>40</v>
      </c>
      <c r="D294" t="s">
        <v>60</v>
      </c>
      <c r="E294" t="s">
        <v>17</v>
      </c>
      <c r="F294">
        <v>53</v>
      </c>
      <c r="G294" t="s">
        <v>438</v>
      </c>
      <c r="H294">
        <v>3205</v>
      </c>
      <c r="I294" t="s">
        <v>442</v>
      </c>
      <c r="J294">
        <v>4</v>
      </c>
      <c r="K294">
        <v>56</v>
      </c>
    </row>
    <row r="295" spans="1:11" x14ac:dyDescent="0.35">
      <c r="A295" t="s">
        <v>326</v>
      </c>
      <c r="B295" t="s">
        <v>10</v>
      </c>
      <c r="C295" t="s">
        <v>40</v>
      </c>
      <c r="D295" t="s">
        <v>12</v>
      </c>
      <c r="E295" t="s">
        <v>13</v>
      </c>
      <c r="F295">
        <v>21</v>
      </c>
      <c r="G295" t="s">
        <v>439</v>
      </c>
      <c r="H295">
        <v>3833</v>
      </c>
      <c r="I295" t="s">
        <v>442</v>
      </c>
      <c r="J295">
        <v>4</v>
      </c>
      <c r="K295">
        <v>80</v>
      </c>
    </row>
    <row r="296" spans="1:11" x14ac:dyDescent="0.35">
      <c r="A296" t="s">
        <v>327</v>
      </c>
      <c r="B296" t="s">
        <v>10</v>
      </c>
      <c r="C296" t="s">
        <v>40</v>
      </c>
      <c r="D296" t="s">
        <v>27</v>
      </c>
      <c r="E296" t="s">
        <v>17</v>
      </c>
      <c r="F296">
        <v>83</v>
      </c>
      <c r="G296" t="s">
        <v>436</v>
      </c>
      <c r="H296">
        <v>984</v>
      </c>
      <c r="I296" t="s">
        <v>442</v>
      </c>
      <c r="J296">
        <v>1</v>
      </c>
      <c r="K296">
        <v>91</v>
      </c>
    </row>
    <row r="297" spans="1:11" x14ac:dyDescent="0.35">
      <c r="A297" t="s">
        <v>328</v>
      </c>
      <c r="B297" t="s">
        <v>19</v>
      </c>
      <c r="C297" t="s">
        <v>40</v>
      </c>
      <c r="D297" t="s">
        <v>20</v>
      </c>
      <c r="E297" t="s">
        <v>13</v>
      </c>
      <c r="F297">
        <v>5</v>
      </c>
      <c r="G297" t="s">
        <v>435</v>
      </c>
      <c r="H297">
        <v>1934</v>
      </c>
      <c r="I297" t="s">
        <v>442</v>
      </c>
      <c r="J297">
        <v>4</v>
      </c>
      <c r="K297">
        <v>61</v>
      </c>
    </row>
    <row r="298" spans="1:11" x14ac:dyDescent="0.35">
      <c r="A298" t="s">
        <v>329</v>
      </c>
      <c r="B298" t="s">
        <v>15</v>
      </c>
      <c r="C298" t="s">
        <v>23</v>
      </c>
      <c r="D298" t="s">
        <v>34</v>
      </c>
      <c r="E298" t="s">
        <v>17</v>
      </c>
      <c r="F298">
        <v>38</v>
      </c>
      <c r="G298" t="s">
        <v>434</v>
      </c>
      <c r="H298">
        <v>1995</v>
      </c>
      <c r="I298" t="s">
        <v>442</v>
      </c>
      <c r="J298">
        <v>1</v>
      </c>
      <c r="K298">
        <v>50</v>
      </c>
    </row>
    <row r="299" spans="1:11" x14ac:dyDescent="0.35">
      <c r="A299" t="s">
        <v>330</v>
      </c>
      <c r="B299" t="s">
        <v>44</v>
      </c>
      <c r="C299" t="s">
        <v>11</v>
      </c>
      <c r="D299" t="s">
        <v>29</v>
      </c>
      <c r="E299" t="s">
        <v>17</v>
      </c>
      <c r="F299">
        <v>83</v>
      </c>
      <c r="G299" t="s">
        <v>436</v>
      </c>
      <c r="H299">
        <v>13901</v>
      </c>
      <c r="I299" t="s">
        <v>441</v>
      </c>
      <c r="J299">
        <v>13</v>
      </c>
      <c r="K299">
        <v>81</v>
      </c>
    </row>
    <row r="300" spans="1:11" x14ac:dyDescent="0.35">
      <c r="A300" t="s">
        <v>331</v>
      </c>
      <c r="B300" t="s">
        <v>22</v>
      </c>
      <c r="C300" t="s">
        <v>23</v>
      </c>
      <c r="D300" t="s">
        <v>27</v>
      </c>
      <c r="E300" t="s">
        <v>17</v>
      </c>
      <c r="F300">
        <v>15</v>
      </c>
      <c r="G300" t="s">
        <v>440</v>
      </c>
      <c r="H300">
        <v>877</v>
      </c>
      <c r="I300" t="s">
        <v>442</v>
      </c>
      <c r="J300">
        <v>1</v>
      </c>
      <c r="K300">
        <v>96</v>
      </c>
    </row>
    <row r="301" spans="1:11" x14ac:dyDescent="0.35">
      <c r="A301" t="s">
        <v>332</v>
      </c>
      <c r="B301" t="s">
        <v>25</v>
      </c>
      <c r="C301" t="s">
        <v>26</v>
      </c>
      <c r="D301" t="s">
        <v>42</v>
      </c>
      <c r="E301" t="s">
        <v>17</v>
      </c>
      <c r="F301">
        <v>44</v>
      </c>
      <c r="G301" t="s">
        <v>434</v>
      </c>
      <c r="H301">
        <v>3416</v>
      </c>
      <c r="I301" t="s">
        <v>442</v>
      </c>
      <c r="J301">
        <v>5</v>
      </c>
      <c r="K301">
        <v>61</v>
      </c>
    </row>
    <row r="302" spans="1:11" x14ac:dyDescent="0.35">
      <c r="A302" t="s">
        <v>333</v>
      </c>
      <c r="B302" t="s">
        <v>19</v>
      </c>
      <c r="C302" t="s">
        <v>23</v>
      </c>
      <c r="D302" t="s">
        <v>47</v>
      </c>
      <c r="E302" t="s">
        <v>13</v>
      </c>
      <c r="F302">
        <v>12</v>
      </c>
      <c r="G302" t="s">
        <v>437</v>
      </c>
      <c r="H302">
        <v>1020</v>
      </c>
      <c r="I302" t="s">
        <v>442</v>
      </c>
      <c r="J302">
        <v>3</v>
      </c>
      <c r="K302">
        <v>56</v>
      </c>
    </row>
    <row r="303" spans="1:11" x14ac:dyDescent="0.35">
      <c r="A303" t="s">
        <v>334</v>
      </c>
      <c r="B303" t="s">
        <v>22</v>
      </c>
      <c r="C303" t="s">
        <v>40</v>
      </c>
      <c r="D303" t="s">
        <v>34</v>
      </c>
      <c r="E303" t="s">
        <v>17</v>
      </c>
      <c r="F303">
        <v>32</v>
      </c>
      <c r="G303" t="s">
        <v>434</v>
      </c>
      <c r="H303">
        <v>555</v>
      </c>
      <c r="I303" t="s">
        <v>442</v>
      </c>
      <c r="J303">
        <v>3</v>
      </c>
      <c r="K303">
        <v>74</v>
      </c>
    </row>
    <row r="304" spans="1:11" x14ac:dyDescent="0.35">
      <c r="A304" t="s">
        <v>335</v>
      </c>
      <c r="B304" t="s">
        <v>22</v>
      </c>
      <c r="C304" t="s">
        <v>23</v>
      </c>
      <c r="D304" t="s">
        <v>27</v>
      </c>
      <c r="E304" t="s">
        <v>13</v>
      </c>
      <c r="F304">
        <v>39</v>
      </c>
      <c r="G304" t="s">
        <v>434</v>
      </c>
      <c r="H304">
        <v>1392</v>
      </c>
      <c r="I304" t="s">
        <v>442</v>
      </c>
      <c r="J304">
        <v>3</v>
      </c>
      <c r="K304">
        <v>86</v>
      </c>
    </row>
    <row r="305" spans="1:11" x14ac:dyDescent="0.35">
      <c r="A305" t="s">
        <v>336</v>
      </c>
      <c r="B305" t="s">
        <v>15</v>
      </c>
      <c r="C305" t="s">
        <v>26</v>
      </c>
      <c r="D305" t="s">
        <v>29</v>
      </c>
      <c r="E305" t="s">
        <v>13</v>
      </c>
      <c r="F305">
        <v>8</v>
      </c>
      <c r="G305" t="s">
        <v>437</v>
      </c>
      <c r="H305">
        <v>6470</v>
      </c>
      <c r="I305" t="s">
        <v>442</v>
      </c>
      <c r="J305">
        <v>3</v>
      </c>
      <c r="K305">
        <v>79</v>
      </c>
    </row>
    <row r="306" spans="1:11" x14ac:dyDescent="0.35">
      <c r="A306" t="s">
        <v>337</v>
      </c>
      <c r="B306" t="s">
        <v>44</v>
      </c>
      <c r="C306" t="s">
        <v>40</v>
      </c>
      <c r="D306" t="s">
        <v>47</v>
      </c>
      <c r="E306" t="s">
        <v>13</v>
      </c>
      <c r="F306">
        <v>40</v>
      </c>
      <c r="G306" t="s">
        <v>434</v>
      </c>
      <c r="H306">
        <v>1461</v>
      </c>
      <c r="I306" t="s">
        <v>442</v>
      </c>
      <c r="J306">
        <v>3</v>
      </c>
      <c r="K306">
        <v>73</v>
      </c>
    </row>
    <row r="307" spans="1:11" x14ac:dyDescent="0.35">
      <c r="A307" t="s">
        <v>338</v>
      </c>
      <c r="B307" t="s">
        <v>19</v>
      </c>
      <c r="C307" t="s">
        <v>40</v>
      </c>
      <c r="D307" t="s">
        <v>60</v>
      </c>
      <c r="E307" t="s">
        <v>13</v>
      </c>
      <c r="F307">
        <v>62</v>
      </c>
      <c r="G307" t="s">
        <v>436</v>
      </c>
      <c r="H307">
        <v>1754</v>
      </c>
      <c r="I307" t="s">
        <v>442</v>
      </c>
      <c r="J307">
        <v>4</v>
      </c>
      <c r="K307">
        <v>97</v>
      </c>
    </row>
    <row r="308" spans="1:11" x14ac:dyDescent="0.35">
      <c r="A308" t="s">
        <v>339</v>
      </c>
      <c r="B308" t="s">
        <v>19</v>
      </c>
      <c r="C308" t="s">
        <v>26</v>
      </c>
      <c r="D308" t="s">
        <v>47</v>
      </c>
      <c r="E308" t="s">
        <v>13</v>
      </c>
      <c r="F308">
        <v>61</v>
      </c>
      <c r="G308" t="s">
        <v>436</v>
      </c>
      <c r="H308">
        <v>5403</v>
      </c>
      <c r="I308" t="s">
        <v>442</v>
      </c>
      <c r="J308">
        <v>5</v>
      </c>
      <c r="K308">
        <v>98</v>
      </c>
    </row>
    <row r="309" spans="1:11" x14ac:dyDescent="0.35">
      <c r="A309" t="s">
        <v>340</v>
      </c>
      <c r="B309" t="s">
        <v>22</v>
      </c>
      <c r="C309" t="s">
        <v>11</v>
      </c>
      <c r="D309" t="s">
        <v>20</v>
      </c>
      <c r="E309" t="s">
        <v>17</v>
      </c>
      <c r="F309">
        <v>47</v>
      </c>
      <c r="G309" t="s">
        <v>438</v>
      </c>
      <c r="H309">
        <v>6279</v>
      </c>
      <c r="I309" t="s">
        <v>442</v>
      </c>
      <c r="J309">
        <v>14</v>
      </c>
      <c r="K309">
        <v>57</v>
      </c>
    </row>
    <row r="310" spans="1:11" x14ac:dyDescent="0.35">
      <c r="A310" t="s">
        <v>341</v>
      </c>
      <c r="B310" t="s">
        <v>15</v>
      </c>
      <c r="C310" t="s">
        <v>40</v>
      </c>
      <c r="D310" t="s">
        <v>16</v>
      </c>
      <c r="E310" t="s">
        <v>13</v>
      </c>
      <c r="F310">
        <v>22</v>
      </c>
      <c r="G310" t="s">
        <v>439</v>
      </c>
      <c r="H310">
        <v>3187</v>
      </c>
      <c r="I310" t="s">
        <v>442</v>
      </c>
      <c r="J310">
        <v>5</v>
      </c>
      <c r="K310">
        <v>78</v>
      </c>
    </row>
    <row r="311" spans="1:11" x14ac:dyDescent="0.35">
      <c r="A311" t="s">
        <v>342</v>
      </c>
      <c r="B311" t="s">
        <v>15</v>
      </c>
      <c r="C311" t="s">
        <v>40</v>
      </c>
      <c r="D311" t="s">
        <v>16</v>
      </c>
      <c r="E311" t="s">
        <v>17</v>
      </c>
      <c r="F311">
        <v>66</v>
      </c>
      <c r="G311" t="s">
        <v>436</v>
      </c>
      <c r="H311">
        <v>4149</v>
      </c>
      <c r="I311" t="s">
        <v>442</v>
      </c>
      <c r="J311">
        <v>1</v>
      </c>
      <c r="K311">
        <v>79</v>
      </c>
    </row>
    <row r="312" spans="1:11" x14ac:dyDescent="0.35">
      <c r="A312" t="s">
        <v>343</v>
      </c>
      <c r="B312" t="s">
        <v>22</v>
      </c>
      <c r="C312" t="s">
        <v>23</v>
      </c>
      <c r="D312" t="s">
        <v>34</v>
      </c>
      <c r="E312" t="s">
        <v>13</v>
      </c>
      <c r="F312">
        <v>72</v>
      </c>
      <c r="G312" t="s">
        <v>436</v>
      </c>
      <c r="H312">
        <v>1146</v>
      </c>
      <c r="I312" t="s">
        <v>442</v>
      </c>
      <c r="J312">
        <v>3</v>
      </c>
      <c r="K312">
        <v>69</v>
      </c>
    </row>
    <row r="313" spans="1:11" x14ac:dyDescent="0.35">
      <c r="A313" t="s">
        <v>344</v>
      </c>
      <c r="B313" t="s">
        <v>10</v>
      </c>
      <c r="C313" t="s">
        <v>11</v>
      </c>
      <c r="D313" t="s">
        <v>47</v>
      </c>
      <c r="E313" t="s">
        <v>17</v>
      </c>
      <c r="F313">
        <v>1</v>
      </c>
      <c r="G313" t="s">
        <v>435</v>
      </c>
      <c r="H313">
        <v>17219</v>
      </c>
      <c r="I313" t="s">
        <v>441</v>
      </c>
      <c r="J313">
        <v>8</v>
      </c>
      <c r="K313">
        <v>87</v>
      </c>
    </row>
    <row r="314" spans="1:11" x14ac:dyDescent="0.35">
      <c r="A314" t="s">
        <v>345</v>
      </c>
      <c r="B314" t="s">
        <v>15</v>
      </c>
      <c r="C314" t="s">
        <v>11</v>
      </c>
      <c r="D314" t="s">
        <v>47</v>
      </c>
      <c r="E314" t="s">
        <v>17</v>
      </c>
      <c r="F314">
        <v>9</v>
      </c>
      <c r="G314" t="s">
        <v>437</v>
      </c>
      <c r="H314">
        <v>13866</v>
      </c>
      <c r="I314" t="s">
        <v>441</v>
      </c>
      <c r="J314">
        <v>5</v>
      </c>
      <c r="K314">
        <v>54</v>
      </c>
    </row>
    <row r="315" spans="1:11" x14ac:dyDescent="0.35">
      <c r="A315" t="s">
        <v>346</v>
      </c>
      <c r="B315" t="s">
        <v>25</v>
      </c>
      <c r="C315" t="s">
        <v>11</v>
      </c>
      <c r="D315" t="s">
        <v>27</v>
      </c>
      <c r="E315" t="s">
        <v>17</v>
      </c>
      <c r="F315">
        <v>18</v>
      </c>
      <c r="G315" t="s">
        <v>440</v>
      </c>
      <c r="H315">
        <v>17547</v>
      </c>
      <c r="I315" t="s">
        <v>441</v>
      </c>
      <c r="J315">
        <v>15</v>
      </c>
      <c r="K315">
        <v>96</v>
      </c>
    </row>
    <row r="316" spans="1:11" x14ac:dyDescent="0.35">
      <c r="A316" t="s">
        <v>347</v>
      </c>
      <c r="B316" t="s">
        <v>10</v>
      </c>
      <c r="C316" t="s">
        <v>23</v>
      </c>
      <c r="D316" t="s">
        <v>29</v>
      </c>
      <c r="E316" t="s">
        <v>37</v>
      </c>
      <c r="F316">
        <v>49</v>
      </c>
      <c r="G316" t="s">
        <v>438</v>
      </c>
      <c r="H316">
        <v>1118</v>
      </c>
      <c r="I316" t="s">
        <v>442</v>
      </c>
      <c r="J316">
        <v>2</v>
      </c>
      <c r="K316">
        <v>74</v>
      </c>
    </row>
    <row r="317" spans="1:11" x14ac:dyDescent="0.35">
      <c r="A317" t="s">
        <v>348</v>
      </c>
      <c r="B317" t="s">
        <v>15</v>
      </c>
      <c r="C317" t="s">
        <v>40</v>
      </c>
      <c r="D317" t="s">
        <v>29</v>
      </c>
      <c r="E317" t="s">
        <v>17</v>
      </c>
      <c r="F317">
        <v>69</v>
      </c>
      <c r="G317" t="s">
        <v>436</v>
      </c>
      <c r="H317">
        <v>3719</v>
      </c>
      <c r="I317" t="s">
        <v>442</v>
      </c>
      <c r="J317">
        <v>5</v>
      </c>
      <c r="K317">
        <v>58</v>
      </c>
    </row>
    <row r="318" spans="1:11" x14ac:dyDescent="0.35">
      <c r="A318" t="s">
        <v>349</v>
      </c>
      <c r="B318" t="s">
        <v>10</v>
      </c>
      <c r="C318" t="s">
        <v>40</v>
      </c>
      <c r="D318" t="s">
        <v>12</v>
      </c>
      <c r="E318" t="s">
        <v>13</v>
      </c>
      <c r="F318">
        <v>39</v>
      </c>
      <c r="G318" t="s">
        <v>434</v>
      </c>
      <c r="H318">
        <v>4292</v>
      </c>
      <c r="I318" t="s">
        <v>442</v>
      </c>
      <c r="J318">
        <v>5</v>
      </c>
      <c r="K318">
        <v>77</v>
      </c>
    </row>
    <row r="319" spans="1:11" x14ac:dyDescent="0.35">
      <c r="A319" t="s">
        <v>350</v>
      </c>
      <c r="B319" t="s">
        <v>19</v>
      </c>
      <c r="C319" t="s">
        <v>23</v>
      </c>
      <c r="D319" t="s">
        <v>60</v>
      </c>
      <c r="E319" t="s">
        <v>17</v>
      </c>
      <c r="F319">
        <v>45</v>
      </c>
      <c r="G319" t="s">
        <v>438</v>
      </c>
      <c r="H319">
        <v>517</v>
      </c>
      <c r="I319" t="s">
        <v>442</v>
      </c>
      <c r="J319">
        <v>2</v>
      </c>
      <c r="K319">
        <v>62</v>
      </c>
    </row>
    <row r="320" spans="1:11" x14ac:dyDescent="0.35">
      <c r="A320" t="s">
        <v>351</v>
      </c>
      <c r="B320" t="s">
        <v>10</v>
      </c>
      <c r="C320" t="s">
        <v>11</v>
      </c>
      <c r="D320" t="s">
        <v>12</v>
      </c>
      <c r="E320" t="s">
        <v>13</v>
      </c>
      <c r="F320">
        <v>54</v>
      </c>
      <c r="G320" t="s">
        <v>438</v>
      </c>
      <c r="H320">
        <v>15074</v>
      </c>
      <c r="I320" t="s">
        <v>441</v>
      </c>
      <c r="J320">
        <v>5</v>
      </c>
      <c r="K320">
        <v>65</v>
      </c>
    </row>
    <row r="321" spans="1:11" x14ac:dyDescent="0.35">
      <c r="A321" t="s">
        <v>352</v>
      </c>
      <c r="B321" t="s">
        <v>22</v>
      </c>
      <c r="C321" t="s">
        <v>11</v>
      </c>
      <c r="D321" t="s">
        <v>31</v>
      </c>
      <c r="E321" t="s">
        <v>13</v>
      </c>
      <c r="F321">
        <v>58</v>
      </c>
      <c r="G321" t="s">
        <v>438</v>
      </c>
      <c r="H321">
        <v>14794</v>
      </c>
      <c r="I321" t="s">
        <v>441</v>
      </c>
      <c r="J321">
        <v>15</v>
      </c>
      <c r="K321">
        <v>95</v>
      </c>
    </row>
    <row r="322" spans="1:11" x14ac:dyDescent="0.35">
      <c r="A322" t="s">
        <v>353</v>
      </c>
      <c r="B322" t="s">
        <v>49</v>
      </c>
      <c r="C322" t="s">
        <v>11</v>
      </c>
      <c r="D322" t="s">
        <v>60</v>
      </c>
      <c r="E322" t="s">
        <v>13</v>
      </c>
      <c r="F322">
        <v>52</v>
      </c>
      <c r="G322" t="s">
        <v>438</v>
      </c>
      <c r="H322">
        <v>12191</v>
      </c>
      <c r="I322" t="s">
        <v>441</v>
      </c>
      <c r="J322">
        <v>8</v>
      </c>
      <c r="K322">
        <v>84</v>
      </c>
    </row>
    <row r="323" spans="1:11" x14ac:dyDescent="0.35">
      <c r="A323" t="s">
        <v>354</v>
      </c>
      <c r="B323" t="s">
        <v>22</v>
      </c>
      <c r="C323" t="s">
        <v>11</v>
      </c>
      <c r="D323" t="s">
        <v>42</v>
      </c>
      <c r="E323" t="s">
        <v>13</v>
      </c>
      <c r="F323">
        <v>38</v>
      </c>
      <c r="G323" t="s">
        <v>434</v>
      </c>
      <c r="H323">
        <v>8836</v>
      </c>
      <c r="I323" t="s">
        <v>441</v>
      </c>
      <c r="J323">
        <v>14</v>
      </c>
      <c r="K323">
        <v>70</v>
      </c>
    </row>
    <row r="324" spans="1:11" x14ac:dyDescent="0.35">
      <c r="A324" t="s">
        <v>355</v>
      </c>
      <c r="B324" t="s">
        <v>19</v>
      </c>
      <c r="C324" t="s">
        <v>26</v>
      </c>
      <c r="D324" t="s">
        <v>60</v>
      </c>
      <c r="E324" t="s">
        <v>17</v>
      </c>
      <c r="F324">
        <v>19</v>
      </c>
      <c r="G324" t="s">
        <v>440</v>
      </c>
      <c r="H324">
        <v>6408</v>
      </c>
      <c r="I324" t="s">
        <v>442</v>
      </c>
      <c r="J324">
        <v>10</v>
      </c>
      <c r="K324">
        <v>64</v>
      </c>
    </row>
    <row r="325" spans="1:11" x14ac:dyDescent="0.35">
      <c r="A325" t="s">
        <v>356</v>
      </c>
      <c r="B325" t="s">
        <v>25</v>
      </c>
      <c r="C325" t="s">
        <v>26</v>
      </c>
      <c r="D325" t="s">
        <v>27</v>
      </c>
      <c r="E325" t="s">
        <v>17</v>
      </c>
      <c r="F325">
        <v>76</v>
      </c>
      <c r="G325" t="s">
        <v>436</v>
      </c>
      <c r="H325">
        <v>2434</v>
      </c>
      <c r="I325" t="s">
        <v>442</v>
      </c>
      <c r="J325">
        <v>8</v>
      </c>
      <c r="K325">
        <v>85</v>
      </c>
    </row>
    <row r="326" spans="1:11" x14ac:dyDescent="0.35">
      <c r="A326" t="s">
        <v>357</v>
      </c>
      <c r="B326" t="s">
        <v>25</v>
      </c>
      <c r="C326" t="s">
        <v>11</v>
      </c>
      <c r="D326" t="s">
        <v>29</v>
      </c>
      <c r="E326" t="s">
        <v>13</v>
      </c>
      <c r="F326">
        <v>86</v>
      </c>
      <c r="G326" t="s">
        <v>436</v>
      </c>
      <c r="H326">
        <v>11244</v>
      </c>
      <c r="I326" t="s">
        <v>441</v>
      </c>
      <c r="J326">
        <v>13</v>
      </c>
      <c r="K326">
        <v>70</v>
      </c>
    </row>
    <row r="327" spans="1:11" x14ac:dyDescent="0.35">
      <c r="A327" t="s">
        <v>358</v>
      </c>
      <c r="B327" t="s">
        <v>10</v>
      </c>
      <c r="C327" t="s">
        <v>23</v>
      </c>
      <c r="D327" t="s">
        <v>47</v>
      </c>
      <c r="E327" t="s">
        <v>17</v>
      </c>
      <c r="F327">
        <v>49</v>
      </c>
      <c r="G327" t="s">
        <v>438</v>
      </c>
      <c r="H327">
        <v>576</v>
      </c>
      <c r="I327" t="s">
        <v>442</v>
      </c>
      <c r="J327">
        <v>3</v>
      </c>
      <c r="K327">
        <v>80</v>
      </c>
    </row>
    <row r="328" spans="1:11" x14ac:dyDescent="0.35">
      <c r="A328" t="s">
        <v>359</v>
      </c>
      <c r="B328" t="s">
        <v>22</v>
      </c>
      <c r="C328" t="s">
        <v>40</v>
      </c>
      <c r="D328" t="s">
        <v>27</v>
      </c>
      <c r="E328" t="s">
        <v>13</v>
      </c>
      <c r="F328">
        <v>19</v>
      </c>
      <c r="G328" t="s">
        <v>440</v>
      </c>
      <c r="H328">
        <v>4293</v>
      </c>
      <c r="I328" t="s">
        <v>442</v>
      </c>
      <c r="J328">
        <v>1</v>
      </c>
      <c r="K328">
        <v>85</v>
      </c>
    </row>
    <row r="329" spans="1:11" x14ac:dyDescent="0.35">
      <c r="A329" t="s">
        <v>360</v>
      </c>
      <c r="B329" t="s">
        <v>25</v>
      </c>
      <c r="C329" t="s">
        <v>23</v>
      </c>
      <c r="D329" t="s">
        <v>20</v>
      </c>
      <c r="E329" t="s">
        <v>13</v>
      </c>
      <c r="F329">
        <v>50</v>
      </c>
      <c r="G329" t="s">
        <v>438</v>
      </c>
      <c r="H329">
        <v>697</v>
      </c>
      <c r="I329" t="s">
        <v>442</v>
      </c>
      <c r="J329">
        <v>2</v>
      </c>
      <c r="K329">
        <v>63</v>
      </c>
    </row>
    <row r="330" spans="1:11" x14ac:dyDescent="0.35">
      <c r="A330" t="s">
        <v>361</v>
      </c>
      <c r="B330" t="s">
        <v>44</v>
      </c>
      <c r="C330" t="s">
        <v>11</v>
      </c>
      <c r="D330" t="s">
        <v>34</v>
      </c>
      <c r="E330" t="s">
        <v>13</v>
      </c>
      <c r="F330">
        <v>12</v>
      </c>
      <c r="G330" t="s">
        <v>437</v>
      </c>
      <c r="H330">
        <v>13775</v>
      </c>
      <c r="I330" t="s">
        <v>441</v>
      </c>
      <c r="J330">
        <v>8</v>
      </c>
      <c r="K330">
        <v>53</v>
      </c>
    </row>
    <row r="331" spans="1:11" x14ac:dyDescent="0.35">
      <c r="A331" t="s">
        <v>362</v>
      </c>
      <c r="B331" t="s">
        <v>44</v>
      </c>
      <c r="C331" t="s">
        <v>23</v>
      </c>
      <c r="D331" t="s">
        <v>16</v>
      </c>
      <c r="E331" t="s">
        <v>13</v>
      </c>
      <c r="F331">
        <v>10</v>
      </c>
      <c r="G331" t="s">
        <v>437</v>
      </c>
      <c r="H331">
        <v>585</v>
      </c>
      <c r="I331" t="s">
        <v>442</v>
      </c>
      <c r="J331">
        <v>3</v>
      </c>
      <c r="K331">
        <v>96</v>
      </c>
    </row>
    <row r="332" spans="1:11" x14ac:dyDescent="0.35">
      <c r="A332" t="s">
        <v>363</v>
      </c>
      <c r="B332" t="s">
        <v>10</v>
      </c>
      <c r="C332" t="s">
        <v>40</v>
      </c>
      <c r="D332" t="s">
        <v>34</v>
      </c>
      <c r="E332" t="s">
        <v>17</v>
      </c>
      <c r="F332">
        <v>43</v>
      </c>
      <c r="G332" t="s">
        <v>434</v>
      </c>
      <c r="H332">
        <v>2983</v>
      </c>
      <c r="I332" t="s">
        <v>442</v>
      </c>
      <c r="J332">
        <v>1</v>
      </c>
      <c r="K332">
        <v>63</v>
      </c>
    </row>
    <row r="333" spans="1:11" x14ac:dyDescent="0.35">
      <c r="A333" t="s">
        <v>364</v>
      </c>
      <c r="B333" t="s">
        <v>22</v>
      </c>
      <c r="C333" t="s">
        <v>11</v>
      </c>
      <c r="D333" t="s">
        <v>34</v>
      </c>
      <c r="E333" t="s">
        <v>13</v>
      </c>
      <c r="F333">
        <v>90</v>
      </c>
      <c r="G333" t="s">
        <v>436</v>
      </c>
      <c r="H333">
        <v>14902</v>
      </c>
      <c r="I333" t="s">
        <v>441</v>
      </c>
      <c r="J333">
        <v>8</v>
      </c>
      <c r="K333">
        <v>75</v>
      </c>
    </row>
    <row r="334" spans="1:11" x14ac:dyDescent="0.35">
      <c r="A334" t="s">
        <v>365</v>
      </c>
      <c r="B334" t="s">
        <v>22</v>
      </c>
      <c r="C334" t="s">
        <v>26</v>
      </c>
      <c r="D334" t="s">
        <v>27</v>
      </c>
      <c r="E334" t="s">
        <v>17</v>
      </c>
      <c r="F334">
        <v>69</v>
      </c>
      <c r="G334" t="s">
        <v>436</v>
      </c>
      <c r="H334">
        <v>6314</v>
      </c>
      <c r="I334" t="s">
        <v>442</v>
      </c>
      <c r="J334">
        <v>7</v>
      </c>
      <c r="K334">
        <v>69</v>
      </c>
    </row>
    <row r="335" spans="1:11" x14ac:dyDescent="0.35">
      <c r="A335" t="s">
        <v>366</v>
      </c>
      <c r="B335" t="s">
        <v>44</v>
      </c>
      <c r="C335" t="s">
        <v>26</v>
      </c>
      <c r="D335" t="s">
        <v>20</v>
      </c>
      <c r="E335" t="s">
        <v>13</v>
      </c>
      <c r="F335">
        <v>60</v>
      </c>
      <c r="G335" t="s">
        <v>438</v>
      </c>
      <c r="H335">
        <v>1807</v>
      </c>
      <c r="I335" t="s">
        <v>442</v>
      </c>
      <c r="J335">
        <v>9</v>
      </c>
      <c r="K335">
        <v>98</v>
      </c>
    </row>
    <row r="336" spans="1:11" x14ac:dyDescent="0.35">
      <c r="A336" t="s">
        <v>367</v>
      </c>
      <c r="B336" t="s">
        <v>49</v>
      </c>
      <c r="C336" t="s">
        <v>26</v>
      </c>
      <c r="D336" t="s">
        <v>60</v>
      </c>
      <c r="E336" t="s">
        <v>17</v>
      </c>
      <c r="F336">
        <v>53</v>
      </c>
      <c r="G336" t="s">
        <v>438</v>
      </c>
      <c r="H336">
        <v>1374</v>
      </c>
      <c r="I336" t="s">
        <v>442</v>
      </c>
      <c r="J336">
        <v>5</v>
      </c>
      <c r="K336">
        <v>97</v>
      </c>
    </row>
    <row r="337" spans="1:11" x14ac:dyDescent="0.35">
      <c r="A337" t="s">
        <v>368</v>
      </c>
      <c r="B337" t="s">
        <v>22</v>
      </c>
      <c r="C337" t="s">
        <v>11</v>
      </c>
      <c r="D337" t="s">
        <v>27</v>
      </c>
      <c r="E337" t="s">
        <v>13</v>
      </c>
      <c r="F337">
        <v>75</v>
      </c>
      <c r="G337" t="s">
        <v>436</v>
      </c>
      <c r="H337">
        <v>14488</v>
      </c>
      <c r="I337" t="s">
        <v>441</v>
      </c>
      <c r="J337">
        <v>11</v>
      </c>
      <c r="K337">
        <v>68</v>
      </c>
    </row>
    <row r="338" spans="1:11" x14ac:dyDescent="0.35">
      <c r="A338" t="s">
        <v>369</v>
      </c>
      <c r="B338" t="s">
        <v>22</v>
      </c>
      <c r="C338" t="s">
        <v>40</v>
      </c>
      <c r="D338" t="s">
        <v>29</v>
      </c>
      <c r="E338" t="s">
        <v>17</v>
      </c>
      <c r="F338">
        <v>73</v>
      </c>
      <c r="G338" t="s">
        <v>436</v>
      </c>
      <c r="H338">
        <v>2513</v>
      </c>
      <c r="I338" t="s">
        <v>442</v>
      </c>
      <c r="J338">
        <v>4</v>
      </c>
      <c r="K338">
        <v>85</v>
      </c>
    </row>
    <row r="339" spans="1:11" x14ac:dyDescent="0.35">
      <c r="A339" t="s">
        <v>370</v>
      </c>
      <c r="B339" t="s">
        <v>10</v>
      </c>
      <c r="C339" t="s">
        <v>26</v>
      </c>
      <c r="D339" t="s">
        <v>27</v>
      </c>
      <c r="E339" t="s">
        <v>13</v>
      </c>
      <c r="F339">
        <v>63</v>
      </c>
      <c r="G339" t="s">
        <v>436</v>
      </c>
      <c r="H339">
        <v>6927</v>
      </c>
      <c r="I339" t="s">
        <v>442</v>
      </c>
      <c r="J339">
        <v>9</v>
      </c>
      <c r="K339">
        <v>79</v>
      </c>
    </row>
    <row r="340" spans="1:11" x14ac:dyDescent="0.35">
      <c r="A340" t="s">
        <v>371</v>
      </c>
      <c r="B340" t="s">
        <v>22</v>
      </c>
      <c r="C340" t="s">
        <v>26</v>
      </c>
      <c r="D340" t="s">
        <v>42</v>
      </c>
      <c r="E340" t="s">
        <v>17</v>
      </c>
      <c r="F340">
        <v>70</v>
      </c>
      <c r="G340" t="s">
        <v>436</v>
      </c>
      <c r="H340">
        <v>5000</v>
      </c>
      <c r="I340" t="s">
        <v>442</v>
      </c>
      <c r="J340">
        <v>4</v>
      </c>
      <c r="K340">
        <v>84</v>
      </c>
    </row>
    <row r="341" spans="1:11" x14ac:dyDescent="0.35">
      <c r="A341" t="s">
        <v>372</v>
      </c>
      <c r="B341" t="s">
        <v>10</v>
      </c>
      <c r="C341" t="s">
        <v>11</v>
      </c>
      <c r="D341" t="s">
        <v>20</v>
      </c>
      <c r="E341" t="s">
        <v>17</v>
      </c>
      <c r="F341">
        <v>10</v>
      </c>
      <c r="G341" t="s">
        <v>437</v>
      </c>
      <c r="H341">
        <v>18402</v>
      </c>
      <c r="I341" t="s">
        <v>441</v>
      </c>
      <c r="J341">
        <v>15</v>
      </c>
      <c r="K341">
        <v>53</v>
      </c>
    </row>
    <row r="342" spans="1:11" x14ac:dyDescent="0.35">
      <c r="A342" t="s">
        <v>373</v>
      </c>
      <c r="B342" t="s">
        <v>49</v>
      </c>
      <c r="C342" t="s">
        <v>11</v>
      </c>
      <c r="D342" t="s">
        <v>47</v>
      </c>
      <c r="E342" t="s">
        <v>17</v>
      </c>
      <c r="F342">
        <v>81</v>
      </c>
      <c r="G342" t="s">
        <v>436</v>
      </c>
      <c r="H342">
        <v>8791</v>
      </c>
      <c r="I342" t="s">
        <v>441</v>
      </c>
      <c r="J342">
        <v>6</v>
      </c>
      <c r="K342">
        <v>95</v>
      </c>
    </row>
    <row r="343" spans="1:11" x14ac:dyDescent="0.35">
      <c r="A343" t="s">
        <v>374</v>
      </c>
      <c r="B343" t="s">
        <v>22</v>
      </c>
      <c r="C343" t="s">
        <v>11</v>
      </c>
      <c r="D343" t="s">
        <v>60</v>
      </c>
      <c r="E343" t="s">
        <v>13</v>
      </c>
      <c r="F343">
        <v>48</v>
      </c>
      <c r="G343" t="s">
        <v>438</v>
      </c>
      <c r="H343">
        <v>5990</v>
      </c>
      <c r="I343" t="s">
        <v>442</v>
      </c>
      <c r="J343">
        <v>14</v>
      </c>
      <c r="K343">
        <v>90</v>
      </c>
    </row>
    <row r="344" spans="1:11" x14ac:dyDescent="0.35">
      <c r="A344" t="s">
        <v>375</v>
      </c>
      <c r="B344" t="s">
        <v>10</v>
      </c>
      <c r="C344" t="s">
        <v>23</v>
      </c>
      <c r="D344" t="s">
        <v>34</v>
      </c>
      <c r="E344" t="s">
        <v>17</v>
      </c>
      <c r="F344">
        <v>69</v>
      </c>
      <c r="G344" t="s">
        <v>436</v>
      </c>
      <c r="H344">
        <v>1329</v>
      </c>
      <c r="I344" t="s">
        <v>442</v>
      </c>
      <c r="J344">
        <v>2</v>
      </c>
      <c r="K344">
        <v>50</v>
      </c>
    </row>
    <row r="345" spans="1:11" x14ac:dyDescent="0.35">
      <c r="A345" t="s">
        <v>376</v>
      </c>
      <c r="B345" t="s">
        <v>15</v>
      </c>
      <c r="C345" t="s">
        <v>26</v>
      </c>
      <c r="D345" t="s">
        <v>20</v>
      </c>
      <c r="E345" t="s">
        <v>13</v>
      </c>
      <c r="F345">
        <v>3</v>
      </c>
      <c r="G345" t="s">
        <v>435</v>
      </c>
      <c r="H345">
        <v>5114</v>
      </c>
      <c r="I345" t="s">
        <v>442</v>
      </c>
      <c r="J345">
        <v>8</v>
      </c>
      <c r="K345">
        <v>61</v>
      </c>
    </row>
    <row r="346" spans="1:11" x14ac:dyDescent="0.35">
      <c r="A346" t="s">
        <v>377</v>
      </c>
      <c r="B346" t="s">
        <v>15</v>
      </c>
      <c r="C346" t="s">
        <v>11</v>
      </c>
      <c r="D346" t="s">
        <v>20</v>
      </c>
      <c r="E346" t="s">
        <v>17</v>
      </c>
      <c r="F346">
        <v>25</v>
      </c>
      <c r="G346" t="s">
        <v>439</v>
      </c>
      <c r="H346">
        <v>15154</v>
      </c>
      <c r="I346" t="s">
        <v>441</v>
      </c>
      <c r="J346">
        <v>13</v>
      </c>
      <c r="K346">
        <v>66</v>
      </c>
    </row>
    <row r="347" spans="1:11" x14ac:dyDescent="0.35">
      <c r="A347" t="s">
        <v>378</v>
      </c>
      <c r="B347" t="s">
        <v>49</v>
      </c>
      <c r="C347" t="s">
        <v>26</v>
      </c>
      <c r="D347" t="s">
        <v>27</v>
      </c>
      <c r="E347" t="s">
        <v>13</v>
      </c>
      <c r="F347">
        <v>11</v>
      </c>
      <c r="G347" t="s">
        <v>437</v>
      </c>
      <c r="H347">
        <v>4056</v>
      </c>
      <c r="I347" t="s">
        <v>442</v>
      </c>
      <c r="J347">
        <v>8</v>
      </c>
      <c r="K347">
        <v>79</v>
      </c>
    </row>
    <row r="348" spans="1:11" x14ac:dyDescent="0.35">
      <c r="A348" t="s">
        <v>379</v>
      </c>
      <c r="B348" t="s">
        <v>19</v>
      </c>
      <c r="C348" t="s">
        <v>40</v>
      </c>
      <c r="D348" t="s">
        <v>60</v>
      </c>
      <c r="E348" t="s">
        <v>17</v>
      </c>
      <c r="F348">
        <v>11</v>
      </c>
      <c r="G348" t="s">
        <v>437</v>
      </c>
      <c r="H348">
        <v>759</v>
      </c>
      <c r="I348" t="s">
        <v>442</v>
      </c>
      <c r="J348">
        <v>1</v>
      </c>
      <c r="K348">
        <v>75</v>
      </c>
    </row>
    <row r="349" spans="1:11" x14ac:dyDescent="0.35">
      <c r="A349" t="s">
        <v>380</v>
      </c>
      <c r="B349" t="s">
        <v>25</v>
      </c>
      <c r="C349" t="s">
        <v>23</v>
      </c>
      <c r="D349" t="s">
        <v>20</v>
      </c>
      <c r="E349" t="s">
        <v>17</v>
      </c>
      <c r="F349">
        <v>82</v>
      </c>
      <c r="G349" t="s">
        <v>436</v>
      </c>
      <c r="H349">
        <v>219</v>
      </c>
      <c r="I349" t="s">
        <v>442</v>
      </c>
      <c r="J349">
        <v>3</v>
      </c>
      <c r="K349">
        <v>60</v>
      </c>
    </row>
    <row r="350" spans="1:11" x14ac:dyDescent="0.35">
      <c r="A350" t="s">
        <v>381</v>
      </c>
      <c r="B350" t="s">
        <v>15</v>
      </c>
      <c r="C350" t="s">
        <v>23</v>
      </c>
      <c r="D350" t="s">
        <v>47</v>
      </c>
      <c r="E350" t="s">
        <v>13</v>
      </c>
      <c r="F350">
        <v>43</v>
      </c>
      <c r="G350" t="s">
        <v>434</v>
      </c>
      <c r="H350">
        <v>1358</v>
      </c>
      <c r="I350" t="s">
        <v>442</v>
      </c>
      <c r="J350">
        <v>1</v>
      </c>
      <c r="K350">
        <v>83</v>
      </c>
    </row>
    <row r="351" spans="1:11" x14ac:dyDescent="0.35">
      <c r="A351" t="s">
        <v>382</v>
      </c>
      <c r="B351" t="s">
        <v>15</v>
      </c>
      <c r="C351" t="s">
        <v>40</v>
      </c>
      <c r="D351" t="s">
        <v>60</v>
      </c>
      <c r="E351" t="s">
        <v>13</v>
      </c>
      <c r="F351">
        <v>89</v>
      </c>
      <c r="G351" t="s">
        <v>436</v>
      </c>
      <c r="H351">
        <v>4395</v>
      </c>
      <c r="I351" t="s">
        <v>442</v>
      </c>
      <c r="J351">
        <v>3</v>
      </c>
      <c r="K351">
        <v>52</v>
      </c>
    </row>
    <row r="352" spans="1:11" x14ac:dyDescent="0.35">
      <c r="A352" t="s">
        <v>383</v>
      </c>
      <c r="B352" t="s">
        <v>15</v>
      </c>
      <c r="C352" t="s">
        <v>26</v>
      </c>
      <c r="D352" t="s">
        <v>20</v>
      </c>
      <c r="E352" t="s">
        <v>13</v>
      </c>
      <c r="F352">
        <v>5</v>
      </c>
      <c r="G352" t="s">
        <v>435</v>
      </c>
      <c r="H352">
        <v>2469</v>
      </c>
      <c r="I352" t="s">
        <v>442</v>
      </c>
      <c r="J352">
        <v>7</v>
      </c>
      <c r="K352">
        <v>51</v>
      </c>
    </row>
    <row r="353" spans="1:11" x14ac:dyDescent="0.35">
      <c r="A353" t="s">
        <v>384</v>
      </c>
      <c r="B353" t="s">
        <v>22</v>
      </c>
      <c r="C353" t="s">
        <v>40</v>
      </c>
      <c r="D353" t="s">
        <v>47</v>
      </c>
      <c r="E353" t="s">
        <v>13</v>
      </c>
      <c r="F353">
        <v>39</v>
      </c>
      <c r="G353" t="s">
        <v>434</v>
      </c>
      <c r="H353">
        <v>1830</v>
      </c>
      <c r="I353" t="s">
        <v>442</v>
      </c>
      <c r="J353">
        <v>5</v>
      </c>
      <c r="K353">
        <v>65</v>
      </c>
    </row>
    <row r="354" spans="1:11" x14ac:dyDescent="0.35">
      <c r="A354" t="s">
        <v>385</v>
      </c>
      <c r="B354" t="s">
        <v>19</v>
      </c>
      <c r="C354" t="s">
        <v>23</v>
      </c>
      <c r="D354" t="s">
        <v>20</v>
      </c>
      <c r="E354" t="s">
        <v>17</v>
      </c>
      <c r="F354">
        <v>18</v>
      </c>
      <c r="G354" t="s">
        <v>440</v>
      </c>
      <c r="H354">
        <v>1818</v>
      </c>
      <c r="I354" t="s">
        <v>442</v>
      </c>
      <c r="J354">
        <v>3</v>
      </c>
      <c r="K354">
        <v>96</v>
      </c>
    </row>
    <row r="355" spans="1:11" x14ac:dyDescent="0.35">
      <c r="A355" t="s">
        <v>386</v>
      </c>
      <c r="B355" t="s">
        <v>15</v>
      </c>
      <c r="C355" t="s">
        <v>26</v>
      </c>
      <c r="D355" t="s">
        <v>12</v>
      </c>
      <c r="E355" t="s">
        <v>17</v>
      </c>
      <c r="F355">
        <v>30</v>
      </c>
      <c r="G355" t="s">
        <v>434</v>
      </c>
      <c r="H355">
        <v>1622</v>
      </c>
      <c r="I355" t="s">
        <v>442</v>
      </c>
      <c r="J355">
        <v>7</v>
      </c>
      <c r="K355">
        <v>88</v>
      </c>
    </row>
    <row r="356" spans="1:11" x14ac:dyDescent="0.35">
      <c r="A356" t="s">
        <v>387</v>
      </c>
      <c r="B356" t="s">
        <v>49</v>
      </c>
      <c r="C356" t="s">
        <v>23</v>
      </c>
      <c r="D356" t="s">
        <v>29</v>
      </c>
      <c r="E356" t="s">
        <v>17</v>
      </c>
      <c r="F356">
        <v>35</v>
      </c>
      <c r="G356" t="s">
        <v>434</v>
      </c>
      <c r="H356">
        <v>1804</v>
      </c>
      <c r="I356" t="s">
        <v>442</v>
      </c>
      <c r="J356">
        <v>2</v>
      </c>
      <c r="K356">
        <v>81</v>
      </c>
    </row>
    <row r="357" spans="1:11" x14ac:dyDescent="0.35">
      <c r="A357" t="s">
        <v>388</v>
      </c>
      <c r="B357" t="s">
        <v>22</v>
      </c>
      <c r="C357" t="s">
        <v>26</v>
      </c>
      <c r="D357" t="s">
        <v>20</v>
      </c>
      <c r="E357" t="s">
        <v>13</v>
      </c>
      <c r="F357">
        <v>56</v>
      </c>
      <c r="G357" t="s">
        <v>438</v>
      </c>
      <c r="H357">
        <v>2521</v>
      </c>
      <c r="I357" t="s">
        <v>442</v>
      </c>
      <c r="J357">
        <v>8</v>
      </c>
      <c r="K357">
        <v>55</v>
      </c>
    </row>
    <row r="358" spans="1:11" x14ac:dyDescent="0.35">
      <c r="A358" t="s">
        <v>389</v>
      </c>
      <c r="B358" t="s">
        <v>49</v>
      </c>
      <c r="C358" t="s">
        <v>26</v>
      </c>
      <c r="D358" t="s">
        <v>60</v>
      </c>
      <c r="E358" t="s">
        <v>13</v>
      </c>
      <c r="F358">
        <v>11</v>
      </c>
      <c r="G358" t="s">
        <v>437</v>
      </c>
      <c r="H358">
        <v>3195</v>
      </c>
      <c r="I358" t="s">
        <v>442</v>
      </c>
      <c r="J358">
        <v>4</v>
      </c>
      <c r="K358">
        <v>74</v>
      </c>
    </row>
    <row r="359" spans="1:11" x14ac:dyDescent="0.35">
      <c r="A359" t="s">
        <v>390</v>
      </c>
      <c r="B359" t="s">
        <v>10</v>
      </c>
      <c r="C359" t="s">
        <v>40</v>
      </c>
      <c r="D359" t="s">
        <v>47</v>
      </c>
      <c r="E359" t="s">
        <v>17</v>
      </c>
      <c r="F359">
        <v>14</v>
      </c>
      <c r="G359" t="s">
        <v>440</v>
      </c>
      <c r="H359">
        <v>1249</v>
      </c>
      <c r="I359" t="s">
        <v>442</v>
      </c>
      <c r="J359">
        <v>1</v>
      </c>
      <c r="K359">
        <v>69</v>
      </c>
    </row>
    <row r="360" spans="1:11" x14ac:dyDescent="0.35">
      <c r="A360" t="s">
        <v>391</v>
      </c>
      <c r="B360" t="s">
        <v>25</v>
      </c>
      <c r="C360" t="s">
        <v>26</v>
      </c>
      <c r="D360" t="s">
        <v>27</v>
      </c>
      <c r="E360" t="s">
        <v>17</v>
      </c>
      <c r="F360">
        <v>12</v>
      </c>
      <c r="G360" t="s">
        <v>437</v>
      </c>
      <c r="H360">
        <v>2535</v>
      </c>
      <c r="I360" t="s">
        <v>442</v>
      </c>
      <c r="J360">
        <v>8</v>
      </c>
      <c r="K360">
        <v>78</v>
      </c>
    </row>
    <row r="361" spans="1:11" x14ac:dyDescent="0.35">
      <c r="A361" t="s">
        <v>392</v>
      </c>
      <c r="B361" t="s">
        <v>19</v>
      </c>
      <c r="C361" t="s">
        <v>23</v>
      </c>
      <c r="D361" t="s">
        <v>31</v>
      </c>
      <c r="E361" t="s">
        <v>17</v>
      </c>
      <c r="F361">
        <v>46</v>
      </c>
      <c r="G361" t="s">
        <v>438</v>
      </c>
      <c r="H361">
        <v>1335</v>
      </c>
      <c r="I361" t="s">
        <v>442</v>
      </c>
      <c r="J361">
        <v>1</v>
      </c>
      <c r="K361">
        <v>88</v>
      </c>
    </row>
    <row r="362" spans="1:11" x14ac:dyDescent="0.35">
      <c r="A362" t="s">
        <v>393</v>
      </c>
      <c r="B362" t="s">
        <v>19</v>
      </c>
      <c r="C362" t="s">
        <v>26</v>
      </c>
      <c r="D362" t="s">
        <v>47</v>
      </c>
      <c r="E362" t="s">
        <v>17</v>
      </c>
      <c r="F362">
        <v>53</v>
      </c>
      <c r="G362" t="s">
        <v>438</v>
      </c>
      <c r="H362">
        <v>4176</v>
      </c>
      <c r="I362" t="s">
        <v>442</v>
      </c>
      <c r="J362">
        <v>3</v>
      </c>
      <c r="K362">
        <v>96</v>
      </c>
    </row>
    <row r="363" spans="1:11" x14ac:dyDescent="0.35">
      <c r="A363" t="s">
        <v>394</v>
      </c>
      <c r="B363" t="s">
        <v>19</v>
      </c>
      <c r="C363" t="s">
        <v>40</v>
      </c>
      <c r="D363" t="s">
        <v>16</v>
      </c>
      <c r="E363" t="s">
        <v>13</v>
      </c>
      <c r="F363">
        <v>88</v>
      </c>
      <c r="G363" t="s">
        <v>436</v>
      </c>
      <c r="H363">
        <v>3618</v>
      </c>
      <c r="I363" t="s">
        <v>442</v>
      </c>
      <c r="J363">
        <v>2</v>
      </c>
      <c r="K363">
        <v>58</v>
      </c>
    </row>
    <row r="364" spans="1:11" x14ac:dyDescent="0.35">
      <c r="A364" t="s">
        <v>395</v>
      </c>
      <c r="B364" t="s">
        <v>44</v>
      </c>
      <c r="C364" t="s">
        <v>26</v>
      </c>
      <c r="D364" t="s">
        <v>27</v>
      </c>
      <c r="E364" t="s">
        <v>13</v>
      </c>
      <c r="F364">
        <v>9</v>
      </c>
      <c r="G364" t="s">
        <v>437</v>
      </c>
      <c r="H364">
        <v>2369</v>
      </c>
      <c r="I364" t="s">
        <v>442</v>
      </c>
      <c r="J364">
        <v>8</v>
      </c>
      <c r="K364">
        <v>67</v>
      </c>
    </row>
    <row r="365" spans="1:11" x14ac:dyDescent="0.35">
      <c r="A365" t="s">
        <v>396</v>
      </c>
      <c r="B365" t="s">
        <v>25</v>
      </c>
      <c r="C365" t="s">
        <v>26</v>
      </c>
      <c r="D365" t="s">
        <v>34</v>
      </c>
      <c r="E365" t="s">
        <v>13</v>
      </c>
      <c r="F365">
        <v>47</v>
      </c>
      <c r="G365" t="s">
        <v>438</v>
      </c>
      <c r="H365">
        <v>3061</v>
      </c>
      <c r="I365" t="s">
        <v>442</v>
      </c>
      <c r="J365">
        <v>5</v>
      </c>
      <c r="K365">
        <v>96</v>
      </c>
    </row>
    <row r="366" spans="1:11" x14ac:dyDescent="0.35">
      <c r="A366" t="s">
        <v>397</v>
      </c>
      <c r="B366" t="s">
        <v>10</v>
      </c>
      <c r="C366" t="s">
        <v>23</v>
      </c>
      <c r="D366" t="s">
        <v>16</v>
      </c>
      <c r="E366" t="s">
        <v>13</v>
      </c>
      <c r="F366">
        <v>59</v>
      </c>
      <c r="G366" t="s">
        <v>438</v>
      </c>
      <c r="H366">
        <v>419</v>
      </c>
      <c r="I366" t="s">
        <v>442</v>
      </c>
      <c r="J366">
        <v>1</v>
      </c>
      <c r="K366">
        <v>69</v>
      </c>
    </row>
    <row r="367" spans="1:11" x14ac:dyDescent="0.35">
      <c r="A367" t="s">
        <v>398</v>
      </c>
      <c r="B367" t="s">
        <v>15</v>
      </c>
      <c r="C367" t="s">
        <v>23</v>
      </c>
      <c r="D367" t="s">
        <v>29</v>
      </c>
      <c r="E367" t="s">
        <v>13</v>
      </c>
      <c r="F367">
        <v>49</v>
      </c>
      <c r="G367" t="s">
        <v>438</v>
      </c>
      <c r="H367">
        <v>1846</v>
      </c>
      <c r="I367" t="s">
        <v>442</v>
      </c>
      <c r="J367">
        <v>2</v>
      </c>
      <c r="K367">
        <v>78</v>
      </c>
    </row>
    <row r="368" spans="1:11" x14ac:dyDescent="0.35">
      <c r="A368" t="s">
        <v>399</v>
      </c>
      <c r="B368" t="s">
        <v>44</v>
      </c>
      <c r="C368" t="s">
        <v>23</v>
      </c>
      <c r="D368" t="s">
        <v>16</v>
      </c>
      <c r="E368" t="s">
        <v>17</v>
      </c>
      <c r="F368">
        <v>42</v>
      </c>
      <c r="G368" t="s">
        <v>434</v>
      </c>
      <c r="H368">
        <v>1435</v>
      </c>
      <c r="I368" t="s">
        <v>442</v>
      </c>
      <c r="J368">
        <v>3</v>
      </c>
      <c r="K368">
        <v>62</v>
      </c>
    </row>
    <row r="369" spans="1:11" x14ac:dyDescent="0.35">
      <c r="A369" t="s">
        <v>400</v>
      </c>
      <c r="B369" t="s">
        <v>25</v>
      </c>
      <c r="C369" t="s">
        <v>26</v>
      </c>
      <c r="D369" t="s">
        <v>42</v>
      </c>
      <c r="E369" t="s">
        <v>13</v>
      </c>
      <c r="F369">
        <v>41</v>
      </c>
      <c r="G369" t="s">
        <v>434</v>
      </c>
      <c r="H369">
        <v>3387</v>
      </c>
      <c r="I369" t="s">
        <v>442</v>
      </c>
      <c r="J369">
        <v>9</v>
      </c>
      <c r="K369">
        <v>86</v>
      </c>
    </row>
    <row r="370" spans="1:11" x14ac:dyDescent="0.35">
      <c r="A370" t="s">
        <v>401</v>
      </c>
      <c r="B370" t="s">
        <v>49</v>
      </c>
      <c r="C370" t="s">
        <v>40</v>
      </c>
      <c r="D370" t="s">
        <v>29</v>
      </c>
      <c r="E370" t="s">
        <v>17</v>
      </c>
      <c r="F370">
        <v>51</v>
      </c>
      <c r="G370" t="s">
        <v>438</v>
      </c>
      <c r="H370">
        <v>3490</v>
      </c>
      <c r="I370" t="s">
        <v>442</v>
      </c>
      <c r="J370">
        <v>1</v>
      </c>
      <c r="K370">
        <v>86</v>
      </c>
    </row>
    <row r="371" spans="1:11" x14ac:dyDescent="0.35">
      <c r="A371" t="s">
        <v>402</v>
      </c>
      <c r="B371" t="s">
        <v>22</v>
      </c>
      <c r="C371" t="s">
        <v>40</v>
      </c>
      <c r="D371" t="s">
        <v>20</v>
      </c>
      <c r="E371" t="s">
        <v>17</v>
      </c>
      <c r="F371">
        <v>60</v>
      </c>
      <c r="G371" t="s">
        <v>438</v>
      </c>
      <c r="H371">
        <v>2217</v>
      </c>
      <c r="I371" t="s">
        <v>442</v>
      </c>
      <c r="J371">
        <v>4</v>
      </c>
      <c r="K371">
        <v>68</v>
      </c>
    </row>
    <row r="372" spans="1:11" x14ac:dyDescent="0.35">
      <c r="A372" t="s">
        <v>403</v>
      </c>
      <c r="B372" t="s">
        <v>49</v>
      </c>
      <c r="C372" t="s">
        <v>11</v>
      </c>
      <c r="D372" t="s">
        <v>47</v>
      </c>
      <c r="E372" t="s">
        <v>13</v>
      </c>
      <c r="F372">
        <v>18</v>
      </c>
      <c r="G372" t="s">
        <v>440</v>
      </c>
      <c r="H372">
        <v>15376</v>
      </c>
      <c r="I372" t="s">
        <v>441</v>
      </c>
      <c r="J372">
        <v>9</v>
      </c>
      <c r="K372">
        <v>65</v>
      </c>
    </row>
    <row r="373" spans="1:11" x14ac:dyDescent="0.35">
      <c r="A373" t="s">
        <v>404</v>
      </c>
      <c r="B373" t="s">
        <v>44</v>
      </c>
      <c r="C373" t="s">
        <v>40</v>
      </c>
      <c r="D373" t="s">
        <v>47</v>
      </c>
      <c r="E373" t="s">
        <v>13</v>
      </c>
      <c r="F373">
        <v>10</v>
      </c>
      <c r="G373" t="s">
        <v>437</v>
      </c>
      <c r="H373">
        <v>4178</v>
      </c>
      <c r="I373" t="s">
        <v>442</v>
      </c>
      <c r="J373">
        <v>5</v>
      </c>
      <c r="K373">
        <v>80</v>
      </c>
    </row>
    <row r="374" spans="1:11" x14ac:dyDescent="0.35">
      <c r="A374" t="s">
        <v>405</v>
      </c>
      <c r="B374" t="s">
        <v>19</v>
      </c>
      <c r="C374" t="s">
        <v>23</v>
      </c>
      <c r="D374" t="s">
        <v>20</v>
      </c>
      <c r="E374" t="s">
        <v>13</v>
      </c>
      <c r="F374">
        <v>89</v>
      </c>
      <c r="G374" t="s">
        <v>436</v>
      </c>
      <c r="H374">
        <v>1056</v>
      </c>
      <c r="I374" t="s">
        <v>442</v>
      </c>
      <c r="J374">
        <v>3</v>
      </c>
      <c r="K374">
        <v>52</v>
      </c>
    </row>
    <row r="375" spans="1:11" x14ac:dyDescent="0.35">
      <c r="A375" t="s">
        <v>406</v>
      </c>
      <c r="B375" t="s">
        <v>49</v>
      </c>
      <c r="C375" t="s">
        <v>26</v>
      </c>
      <c r="D375" t="s">
        <v>20</v>
      </c>
      <c r="E375" t="s">
        <v>13</v>
      </c>
      <c r="F375">
        <v>11</v>
      </c>
      <c r="G375" t="s">
        <v>437</v>
      </c>
      <c r="H375">
        <v>1895</v>
      </c>
      <c r="I375" t="s">
        <v>442</v>
      </c>
      <c r="J375">
        <v>5</v>
      </c>
      <c r="K375">
        <v>92</v>
      </c>
    </row>
    <row r="376" spans="1:11" x14ac:dyDescent="0.35">
      <c r="A376" t="s">
        <v>407</v>
      </c>
      <c r="B376" t="s">
        <v>10</v>
      </c>
      <c r="C376" t="s">
        <v>26</v>
      </c>
      <c r="D376" t="s">
        <v>42</v>
      </c>
      <c r="E376" t="s">
        <v>13</v>
      </c>
      <c r="F376">
        <v>6</v>
      </c>
      <c r="G376" t="s">
        <v>437</v>
      </c>
      <c r="H376">
        <v>5613</v>
      </c>
      <c r="I376" t="s">
        <v>442</v>
      </c>
      <c r="J376">
        <v>8</v>
      </c>
      <c r="K376">
        <v>98</v>
      </c>
    </row>
    <row r="377" spans="1:11" x14ac:dyDescent="0.35">
      <c r="A377" t="s">
        <v>408</v>
      </c>
      <c r="B377" t="s">
        <v>44</v>
      </c>
      <c r="C377" t="s">
        <v>23</v>
      </c>
      <c r="D377" t="s">
        <v>31</v>
      </c>
      <c r="E377" t="s">
        <v>17</v>
      </c>
      <c r="F377">
        <v>34</v>
      </c>
      <c r="G377" t="s">
        <v>434</v>
      </c>
      <c r="H377">
        <v>654</v>
      </c>
      <c r="I377" t="s">
        <v>442</v>
      </c>
      <c r="J377">
        <v>3</v>
      </c>
      <c r="K377">
        <v>97</v>
      </c>
    </row>
    <row r="378" spans="1:11" x14ac:dyDescent="0.35">
      <c r="A378" t="s">
        <v>409</v>
      </c>
      <c r="B378" t="s">
        <v>19</v>
      </c>
      <c r="C378" t="s">
        <v>40</v>
      </c>
      <c r="D378" t="s">
        <v>34</v>
      </c>
      <c r="E378" t="s">
        <v>17</v>
      </c>
      <c r="F378">
        <v>60</v>
      </c>
      <c r="G378" t="s">
        <v>438</v>
      </c>
      <c r="H378">
        <v>4599</v>
      </c>
      <c r="I378" t="s">
        <v>442</v>
      </c>
      <c r="J378">
        <v>2</v>
      </c>
      <c r="K378">
        <v>72</v>
      </c>
    </row>
    <row r="379" spans="1:11" x14ac:dyDescent="0.35">
      <c r="A379" t="s">
        <v>410</v>
      </c>
      <c r="B379" t="s">
        <v>15</v>
      </c>
      <c r="C379" t="s">
        <v>23</v>
      </c>
      <c r="D379" t="s">
        <v>31</v>
      </c>
      <c r="E379" t="s">
        <v>17</v>
      </c>
      <c r="F379">
        <v>11</v>
      </c>
      <c r="G379" t="s">
        <v>437</v>
      </c>
      <c r="H379">
        <v>437</v>
      </c>
      <c r="I379" t="s">
        <v>442</v>
      </c>
      <c r="J379">
        <v>3</v>
      </c>
      <c r="K379">
        <v>59</v>
      </c>
    </row>
    <row r="380" spans="1:11" x14ac:dyDescent="0.35">
      <c r="A380" t="s">
        <v>411</v>
      </c>
      <c r="B380" t="s">
        <v>44</v>
      </c>
      <c r="C380" t="s">
        <v>26</v>
      </c>
      <c r="D380" t="s">
        <v>29</v>
      </c>
      <c r="E380" t="s">
        <v>17</v>
      </c>
      <c r="F380">
        <v>27</v>
      </c>
      <c r="G380" t="s">
        <v>439</v>
      </c>
      <c r="H380">
        <v>5268</v>
      </c>
      <c r="I380" t="s">
        <v>442</v>
      </c>
      <c r="J380">
        <v>9</v>
      </c>
      <c r="K380">
        <v>72</v>
      </c>
    </row>
    <row r="381" spans="1:11" x14ac:dyDescent="0.35">
      <c r="A381" t="s">
        <v>412</v>
      </c>
      <c r="B381" t="s">
        <v>25</v>
      </c>
      <c r="C381" t="s">
        <v>11</v>
      </c>
      <c r="D381" t="s">
        <v>34</v>
      </c>
      <c r="E381" t="s">
        <v>13</v>
      </c>
      <c r="F381">
        <v>58</v>
      </c>
      <c r="G381" t="s">
        <v>438</v>
      </c>
      <c r="H381">
        <v>10225</v>
      </c>
      <c r="I381" t="s">
        <v>441</v>
      </c>
      <c r="J381">
        <v>6</v>
      </c>
      <c r="K381">
        <v>69</v>
      </c>
    </row>
    <row r="382" spans="1:11" x14ac:dyDescent="0.35">
      <c r="A382" t="s">
        <v>413</v>
      </c>
      <c r="B382" t="s">
        <v>15</v>
      </c>
      <c r="C382" t="s">
        <v>11</v>
      </c>
      <c r="D382" t="s">
        <v>12</v>
      </c>
      <c r="E382" t="s">
        <v>13</v>
      </c>
      <c r="F382">
        <v>83</v>
      </c>
      <c r="G382" t="s">
        <v>436</v>
      </c>
      <c r="H382">
        <v>6791</v>
      </c>
      <c r="I382" t="s">
        <v>442</v>
      </c>
      <c r="J382">
        <v>15</v>
      </c>
      <c r="K382">
        <v>60</v>
      </c>
    </row>
    <row r="383" spans="1:11" x14ac:dyDescent="0.35">
      <c r="A383" t="s">
        <v>414</v>
      </c>
      <c r="B383" t="s">
        <v>10</v>
      </c>
      <c r="C383" t="s">
        <v>40</v>
      </c>
      <c r="D383" t="s">
        <v>20</v>
      </c>
      <c r="E383" t="s">
        <v>17</v>
      </c>
      <c r="F383">
        <v>21</v>
      </c>
      <c r="G383" t="s">
        <v>439</v>
      </c>
      <c r="H383">
        <v>3211</v>
      </c>
      <c r="I383" t="s">
        <v>442</v>
      </c>
      <c r="J383">
        <v>5</v>
      </c>
      <c r="K383">
        <v>77</v>
      </c>
    </row>
    <row r="384" spans="1:11" x14ac:dyDescent="0.35">
      <c r="A384" t="s">
        <v>415</v>
      </c>
      <c r="B384" t="s">
        <v>25</v>
      </c>
      <c r="C384" t="s">
        <v>40</v>
      </c>
      <c r="D384" t="s">
        <v>47</v>
      </c>
      <c r="E384" t="s">
        <v>13</v>
      </c>
      <c r="F384">
        <v>24</v>
      </c>
      <c r="G384" t="s">
        <v>439</v>
      </c>
      <c r="H384">
        <v>4040</v>
      </c>
      <c r="I384" t="s">
        <v>442</v>
      </c>
      <c r="J384">
        <v>4</v>
      </c>
      <c r="K384">
        <v>51</v>
      </c>
    </row>
    <row r="385" spans="1:11" x14ac:dyDescent="0.35">
      <c r="A385" t="s">
        <v>416</v>
      </c>
      <c r="B385" t="s">
        <v>10</v>
      </c>
      <c r="C385" t="s">
        <v>40</v>
      </c>
      <c r="D385" t="s">
        <v>34</v>
      </c>
      <c r="E385" t="s">
        <v>13</v>
      </c>
      <c r="F385">
        <v>50</v>
      </c>
      <c r="G385" t="s">
        <v>438</v>
      </c>
      <c r="H385">
        <v>536</v>
      </c>
      <c r="I385" t="s">
        <v>442</v>
      </c>
      <c r="J385">
        <v>2</v>
      </c>
      <c r="K385">
        <v>63</v>
      </c>
    </row>
    <row r="386" spans="1:11" x14ac:dyDescent="0.35">
      <c r="A386" t="s">
        <v>417</v>
      </c>
      <c r="B386" t="s">
        <v>44</v>
      </c>
      <c r="C386" t="s">
        <v>11</v>
      </c>
      <c r="D386" t="s">
        <v>16</v>
      </c>
      <c r="E386" t="s">
        <v>17</v>
      </c>
      <c r="F386">
        <v>69</v>
      </c>
      <c r="G386" t="s">
        <v>436</v>
      </c>
      <c r="H386">
        <v>8063</v>
      </c>
      <c r="I386" t="s">
        <v>441</v>
      </c>
      <c r="J386">
        <v>10</v>
      </c>
      <c r="K386">
        <v>70</v>
      </c>
    </row>
    <row r="387" spans="1:11" x14ac:dyDescent="0.35">
      <c r="A387" t="s">
        <v>418</v>
      </c>
      <c r="B387" t="s">
        <v>22</v>
      </c>
      <c r="C387" t="s">
        <v>23</v>
      </c>
      <c r="D387" t="s">
        <v>31</v>
      </c>
      <c r="E387" t="s">
        <v>17</v>
      </c>
      <c r="F387">
        <v>63</v>
      </c>
      <c r="G387" t="s">
        <v>436</v>
      </c>
      <c r="H387">
        <v>1280</v>
      </c>
      <c r="I387" t="s">
        <v>442</v>
      </c>
      <c r="J387">
        <v>3</v>
      </c>
      <c r="K387">
        <v>70</v>
      </c>
    </row>
    <row r="388" spans="1:11" x14ac:dyDescent="0.35">
      <c r="A388" t="s">
        <v>419</v>
      </c>
      <c r="B388" t="s">
        <v>19</v>
      </c>
      <c r="C388" t="s">
        <v>23</v>
      </c>
      <c r="D388" t="s">
        <v>16</v>
      </c>
      <c r="E388" t="s">
        <v>17</v>
      </c>
      <c r="F388">
        <v>15</v>
      </c>
      <c r="G388" t="s">
        <v>440</v>
      </c>
      <c r="H388">
        <v>912</v>
      </c>
      <c r="I388" t="s">
        <v>442</v>
      </c>
      <c r="J388">
        <v>2</v>
      </c>
      <c r="K388">
        <v>79</v>
      </c>
    </row>
    <row r="389" spans="1:11" x14ac:dyDescent="0.35">
      <c r="A389" t="s">
        <v>420</v>
      </c>
      <c r="B389" t="s">
        <v>19</v>
      </c>
      <c r="C389" t="s">
        <v>40</v>
      </c>
      <c r="D389" t="s">
        <v>27</v>
      </c>
      <c r="E389" t="s">
        <v>13</v>
      </c>
      <c r="F389">
        <v>76</v>
      </c>
      <c r="G389" t="s">
        <v>436</v>
      </c>
      <c r="H389">
        <v>1194</v>
      </c>
      <c r="I389" t="s">
        <v>442</v>
      </c>
      <c r="J389">
        <v>2</v>
      </c>
      <c r="K389">
        <v>70</v>
      </c>
    </row>
    <row r="390" spans="1:11" x14ac:dyDescent="0.35">
      <c r="A390" t="s">
        <v>421</v>
      </c>
      <c r="B390" t="s">
        <v>15</v>
      </c>
      <c r="C390" t="s">
        <v>40</v>
      </c>
      <c r="D390" t="s">
        <v>27</v>
      </c>
      <c r="E390" t="s">
        <v>17</v>
      </c>
      <c r="F390">
        <v>48</v>
      </c>
      <c r="G390" t="s">
        <v>438</v>
      </c>
      <c r="H390">
        <v>1658</v>
      </c>
      <c r="I390" t="s">
        <v>442</v>
      </c>
      <c r="J390">
        <v>5</v>
      </c>
      <c r="K390">
        <v>74</v>
      </c>
    </row>
    <row r="391" spans="1:11" x14ac:dyDescent="0.35">
      <c r="A391" t="s">
        <v>422</v>
      </c>
      <c r="B391" t="s">
        <v>25</v>
      </c>
      <c r="C391" t="s">
        <v>40</v>
      </c>
      <c r="D391" t="s">
        <v>16</v>
      </c>
      <c r="E391" t="s">
        <v>17</v>
      </c>
      <c r="F391">
        <v>24</v>
      </c>
      <c r="G391" t="s">
        <v>439</v>
      </c>
      <c r="H391">
        <v>4486</v>
      </c>
      <c r="I391" t="s">
        <v>442</v>
      </c>
      <c r="J391">
        <v>5</v>
      </c>
      <c r="K391">
        <v>94</v>
      </c>
    </row>
    <row r="392" spans="1:11" x14ac:dyDescent="0.35">
      <c r="A392" t="s">
        <v>423</v>
      </c>
      <c r="B392" t="s">
        <v>10</v>
      </c>
      <c r="C392" t="s">
        <v>40</v>
      </c>
      <c r="D392" t="s">
        <v>20</v>
      </c>
      <c r="E392" t="s">
        <v>17</v>
      </c>
      <c r="F392">
        <v>37</v>
      </c>
      <c r="G392" t="s">
        <v>434</v>
      </c>
      <c r="H392">
        <v>1649</v>
      </c>
      <c r="I392" t="s">
        <v>442</v>
      </c>
      <c r="J392">
        <v>2</v>
      </c>
      <c r="K392">
        <v>70</v>
      </c>
    </row>
    <row r="393" spans="1:11" x14ac:dyDescent="0.35">
      <c r="A393" t="s">
        <v>424</v>
      </c>
      <c r="B393" t="s">
        <v>49</v>
      </c>
      <c r="C393" t="s">
        <v>23</v>
      </c>
      <c r="D393" t="s">
        <v>16</v>
      </c>
      <c r="E393" t="s">
        <v>17</v>
      </c>
      <c r="F393">
        <v>46</v>
      </c>
      <c r="G393" t="s">
        <v>438</v>
      </c>
      <c r="H393">
        <v>219</v>
      </c>
      <c r="I393" t="s">
        <v>442</v>
      </c>
      <c r="J393">
        <v>2</v>
      </c>
      <c r="K393">
        <v>58</v>
      </c>
    </row>
    <row r="394" spans="1:11" x14ac:dyDescent="0.35">
      <c r="A394" t="s">
        <v>425</v>
      </c>
      <c r="B394" t="s">
        <v>22</v>
      </c>
      <c r="C394" t="s">
        <v>23</v>
      </c>
      <c r="D394" t="s">
        <v>20</v>
      </c>
      <c r="E394" t="s">
        <v>13</v>
      </c>
      <c r="F394">
        <v>64</v>
      </c>
      <c r="G394" t="s">
        <v>436</v>
      </c>
      <c r="H394">
        <v>1037</v>
      </c>
      <c r="I394" t="s">
        <v>442</v>
      </c>
      <c r="J394">
        <v>3</v>
      </c>
      <c r="K394">
        <v>81</v>
      </c>
    </row>
    <row r="395" spans="1:11" x14ac:dyDescent="0.35">
      <c r="A395" t="s">
        <v>426</v>
      </c>
      <c r="B395" t="s">
        <v>25</v>
      </c>
      <c r="C395" t="s">
        <v>23</v>
      </c>
      <c r="D395" t="s">
        <v>34</v>
      </c>
      <c r="E395" t="s">
        <v>17</v>
      </c>
      <c r="F395">
        <v>73</v>
      </c>
      <c r="G395" t="s">
        <v>436</v>
      </c>
      <c r="H395">
        <v>263</v>
      </c>
      <c r="I395" t="s">
        <v>442</v>
      </c>
      <c r="J395">
        <v>1</v>
      </c>
      <c r="K395">
        <v>68</v>
      </c>
    </row>
    <row r="396" spans="1:11" x14ac:dyDescent="0.35">
      <c r="A396" t="s">
        <v>427</v>
      </c>
      <c r="B396" t="s">
        <v>15</v>
      </c>
      <c r="C396" t="s">
        <v>26</v>
      </c>
      <c r="D396" t="s">
        <v>60</v>
      </c>
      <c r="E396" t="s">
        <v>13</v>
      </c>
      <c r="F396">
        <v>22</v>
      </c>
      <c r="G396" t="s">
        <v>439</v>
      </c>
      <c r="H396">
        <v>4746</v>
      </c>
      <c r="I396" t="s">
        <v>442</v>
      </c>
      <c r="J396">
        <v>9</v>
      </c>
      <c r="K396">
        <v>85</v>
      </c>
    </row>
    <row r="397" spans="1:11" x14ac:dyDescent="0.35">
      <c r="A397" t="s">
        <v>428</v>
      </c>
      <c r="B397" t="s">
        <v>19</v>
      </c>
      <c r="C397" t="s">
        <v>11</v>
      </c>
      <c r="D397" t="s">
        <v>16</v>
      </c>
      <c r="E397" t="s">
        <v>17</v>
      </c>
      <c r="F397">
        <v>70</v>
      </c>
      <c r="G397" t="s">
        <v>436</v>
      </c>
      <c r="H397">
        <v>18488</v>
      </c>
      <c r="I397" t="s">
        <v>441</v>
      </c>
      <c r="J397">
        <v>10</v>
      </c>
      <c r="K397">
        <v>84</v>
      </c>
    </row>
    <row r="398" spans="1:11" x14ac:dyDescent="0.35">
      <c r="A398" t="s">
        <v>429</v>
      </c>
      <c r="B398" t="s">
        <v>49</v>
      </c>
      <c r="C398" t="s">
        <v>11</v>
      </c>
      <c r="D398" t="s">
        <v>34</v>
      </c>
      <c r="E398" t="s">
        <v>13</v>
      </c>
      <c r="F398">
        <v>55</v>
      </c>
      <c r="G398" t="s">
        <v>438</v>
      </c>
      <c r="H398">
        <v>6677</v>
      </c>
      <c r="I398" t="s">
        <v>442</v>
      </c>
      <c r="J398">
        <v>15</v>
      </c>
      <c r="K398">
        <v>98</v>
      </c>
    </row>
    <row r="399" spans="1:11" x14ac:dyDescent="0.35">
      <c r="A399" t="s">
        <v>430</v>
      </c>
      <c r="B399" t="s">
        <v>22</v>
      </c>
      <c r="C399" t="s">
        <v>26</v>
      </c>
      <c r="D399" t="s">
        <v>12</v>
      </c>
      <c r="E399" t="s">
        <v>17</v>
      </c>
      <c r="F399">
        <v>45</v>
      </c>
      <c r="G399" t="s">
        <v>438</v>
      </c>
      <c r="H399">
        <v>1712</v>
      </c>
      <c r="I399" t="s">
        <v>442</v>
      </c>
      <c r="J399">
        <v>9</v>
      </c>
      <c r="K399">
        <v>57</v>
      </c>
    </row>
    <row r="400" spans="1:11" x14ac:dyDescent="0.35">
      <c r="A400" t="s">
        <v>431</v>
      </c>
      <c r="B400" t="s">
        <v>49</v>
      </c>
      <c r="C400" t="s">
        <v>40</v>
      </c>
      <c r="D400" t="s">
        <v>60</v>
      </c>
      <c r="E400" t="s">
        <v>13</v>
      </c>
      <c r="F400">
        <v>76</v>
      </c>
      <c r="G400" t="s">
        <v>436</v>
      </c>
      <c r="H400">
        <v>3372</v>
      </c>
      <c r="I400" t="s">
        <v>442</v>
      </c>
      <c r="J400">
        <v>5</v>
      </c>
      <c r="K400">
        <v>90</v>
      </c>
    </row>
    <row r="401" spans="1:11" x14ac:dyDescent="0.35">
      <c r="A401" t="s">
        <v>432</v>
      </c>
      <c r="B401" t="s">
        <v>25</v>
      </c>
      <c r="C401" t="s">
        <v>40</v>
      </c>
      <c r="D401" t="s">
        <v>16</v>
      </c>
      <c r="E401" t="s">
        <v>17</v>
      </c>
      <c r="F401">
        <v>27</v>
      </c>
      <c r="G401" t="s">
        <v>439</v>
      </c>
      <c r="H401">
        <v>2195</v>
      </c>
      <c r="I401" t="s">
        <v>442</v>
      </c>
      <c r="J401">
        <v>1</v>
      </c>
      <c r="K401">
        <v>86</v>
      </c>
    </row>
  </sheetData>
  <phoneticPr fontId="1"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3844-2832-41CC-B0DD-5F1BFB654EDF}">
  <dimension ref="B4:H71"/>
  <sheetViews>
    <sheetView topLeftCell="A2" workbookViewId="0">
      <selection activeCell="B1" sqref="B1:S1"/>
    </sheetView>
  </sheetViews>
  <sheetFormatPr defaultRowHeight="14.5" x14ac:dyDescent="0.35"/>
  <cols>
    <col min="2" max="2" width="16.26953125" bestFit="1" customWidth="1"/>
    <col min="3" max="3" width="23" bestFit="1" customWidth="1"/>
    <col min="4" max="4" width="23.54296875" bestFit="1" customWidth="1"/>
    <col min="5" max="5" width="23" bestFit="1" customWidth="1"/>
    <col min="6" max="6" width="11.08984375" bestFit="1" customWidth="1"/>
    <col min="7" max="7" width="10.1796875" bestFit="1" customWidth="1"/>
    <col min="8" max="8" width="23" bestFit="1" customWidth="1"/>
  </cols>
  <sheetData>
    <row r="4" spans="2:8" x14ac:dyDescent="0.35">
      <c r="B4" t="s">
        <v>445</v>
      </c>
      <c r="D4" t="s">
        <v>446</v>
      </c>
      <c r="F4" t="s">
        <v>453</v>
      </c>
      <c r="H4" t="s">
        <v>447</v>
      </c>
    </row>
    <row r="5" spans="2:8" x14ac:dyDescent="0.35">
      <c r="B5">
        <v>400</v>
      </c>
      <c r="D5" s="6">
        <v>5051.5249999999996</v>
      </c>
      <c r="F5" s="4">
        <v>45.005000000000003</v>
      </c>
      <c r="H5" s="4">
        <v>75.34</v>
      </c>
    </row>
    <row r="10" spans="2:8" x14ac:dyDescent="0.35">
      <c r="B10" s="1" t="s">
        <v>1</v>
      </c>
      <c r="C10" t="s">
        <v>447</v>
      </c>
    </row>
    <row r="11" spans="2:8" x14ac:dyDescent="0.35">
      <c r="B11" s="2" t="s">
        <v>10</v>
      </c>
      <c r="C11" s="3">
        <v>76.609375</v>
      </c>
    </row>
    <row r="12" spans="2:8" x14ac:dyDescent="0.35">
      <c r="B12" s="2" t="s">
        <v>49</v>
      </c>
      <c r="C12" s="3">
        <v>76.574074074074076</v>
      </c>
    </row>
    <row r="13" spans="2:8" x14ac:dyDescent="0.35">
      <c r="B13" s="2" t="s">
        <v>22</v>
      </c>
      <c r="C13" s="3">
        <v>75.518518518518519</v>
      </c>
    </row>
    <row r="14" spans="2:8" x14ac:dyDescent="0.35">
      <c r="B14" s="2" t="s">
        <v>25</v>
      </c>
      <c r="C14" s="3">
        <v>75.457627118644069</v>
      </c>
    </row>
    <row r="15" spans="2:8" x14ac:dyDescent="0.35">
      <c r="B15" s="2" t="s">
        <v>19</v>
      </c>
      <c r="C15" s="3">
        <v>75.067796610169495</v>
      </c>
    </row>
    <row r="16" spans="2:8" x14ac:dyDescent="0.35">
      <c r="B16" s="2" t="s">
        <v>44</v>
      </c>
      <c r="C16" s="3">
        <v>74.982456140350877</v>
      </c>
    </row>
    <row r="17" spans="2:3" x14ac:dyDescent="0.35">
      <c r="B17" s="2" t="s">
        <v>15</v>
      </c>
      <c r="C17" s="3">
        <v>72.924528301886795</v>
      </c>
    </row>
    <row r="18" spans="2:3" x14ac:dyDescent="0.35">
      <c r="B18" s="2" t="s">
        <v>444</v>
      </c>
      <c r="C18" s="3">
        <v>75.34</v>
      </c>
    </row>
    <row r="22" spans="2:3" x14ac:dyDescent="0.35">
      <c r="B22" s="1" t="s">
        <v>449</v>
      </c>
      <c r="C22" t="s">
        <v>447</v>
      </c>
    </row>
    <row r="23" spans="2:3" x14ac:dyDescent="0.35">
      <c r="B23" s="2" t="s">
        <v>12</v>
      </c>
      <c r="C23" s="3">
        <v>69.777777777777771</v>
      </c>
    </row>
    <row r="24" spans="2:3" x14ac:dyDescent="0.35">
      <c r="B24" s="2" t="s">
        <v>20</v>
      </c>
      <c r="C24" s="3">
        <v>72.781818181818181</v>
      </c>
    </row>
    <row r="25" spans="2:3" x14ac:dyDescent="0.35">
      <c r="B25" s="2" t="s">
        <v>16</v>
      </c>
      <c r="C25" s="3">
        <v>73.5</v>
      </c>
    </row>
    <row r="26" spans="2:3" x14ac:dyDescent="0.35">
      <c r="B26" s="2" t="s">
        <v>34</v>
      </c>
      <c r="C26" s="3">
        <v>74.893617021276597</v>
      </c>
    </row>
    <row r="27" spans="2:3" x14ac:dyDescent="0.35">
      <c r="B27" s="2" t="s">
        <v>60</v>
      </c>
      <c r="C27" s="3">
        <v>75.290322580645167</v>
      </c>
    </row>
    <row r="28" spans="2:3" x14ac:dyDescent="0.35">
      <c r="B28" s="2" t="s">
        <v>42</v>
      </c>
      <c r="C28" s="3">
        <v>76.375</v>
      </c>
    </row>
    <row r="29" spans="2:3" x14ac:dyDescent="0.35">
      <c r="B29" s="2" t="s">
        <v>29</v>
      </c>
      <c r="C29" s="3">
        <v>76.804878048780495</v>
      </c>
    </row>
    <row r="30" spans="2:3" x14ac:dyDescent="0.35">
      <c r="B30" s="2" t="s">
        <v>27</v>
      </c>
      <c r="C30" s="3">
        <v>76.906976744186053</v>
      </c>
    </row>
    <row r="31" spans="2:3" x14ac:dyDescent="0.35">
      <c r="B31" s="2" t="s">
        <v>47</v>
      </c>
      <c r="C31" s="3">
        <v>77.230769230769226</v>
      </c>
    </row>
    <row r="32" spans="2:3" x14ac:dyDescent="0.35">
      <c r="B32" s="2" t="s">
        <v>31</v>
      </c>
      <c r="C32" s="3">
        <v>78.510638297872347</v>
      </c>
    </row>
    <row r="33" spans="2:6" x14ac:dyDescent="0.35">
      <c r="B33" s="2" t="s">
        <v>444</v>
      </c>
      <c r="C33" s="3">
        <v>75.34</v>
      </c>
    </row>
    <row r="37" spans="2:6" x14ac:dyDescent="0.35">
      <c r="B37" s="1" t="s">
        <v>4</v>
      </c>
      <c r="C37" t="s">
        <v>448</v>
      </c>
    </row>
    <row r="38" spans="2:6" x14ac:dyDescent="0.35">
      <c r="B38" s="2" t="s">
        <v>17</v>
      </c>
      <c r="C38" s="4">
        <v>206</v>
      </c>
    </row>
    <row r="39" spans="2:6" x14ac:dyDescent="0.35">
      <c r="B39" s="2" t="s">
        <v>13</v>
      </c>
      <c r="C39" s="4">
        <v>189</v>
      </c>
    </row>
    <row r="40" spans="2:6" x14ac:dyDescent="0.35">
      <c r="B40" s="2" t="s">
        <v>37</v>
      </c>
      <c r="C40" s="4">
        <v>5</v>
      </c>
    </row>
    <row r="41" spans="2:6" x14ac:dyDescent="0.35">
      <c r="B41" s="2" t="s">
        <v>444</v>
      </c>
      <c r="C41" s="4">
        <v>400</v>
      </c>
    </row>
    <row r="45" spans="2:6" x14ac:dyDescent="0.35">
      <c r="B45" s="1" t="s">
        <v>450</v>
      </c>
      <c r="C45" t="s">
        <v>447</v>
      </c>
      <c r="E45" t="s">
        <v>450</v>
      </c>
      <c r="F45" t="s">
        <v>447</v>
      </c>
    </row>
    <row r="46" spans="2:6" x14ac:dyDescent="0.35">
      <c r="B46" s="2" t="s">
        <v>11</v>
      </c>
      <c r="C46" s="4">
        <v>76.835051546391753</v>
      </c>
      <c r="E46" t="s">
        <v>11</v>
      </c>
      <c r="F46" s="4">
        <f>GETPIVOTDATA("Recovery Score",$B$45,"Treatment Type","Surgery")</f>
        <v>76.835051546391753</v>
      </c>
    </row>
    <row r="47" spans="2:6" x14ac:dyDescent="0.35">
      <c r="B47" s="2" t="s">
        <v>26</v>
      </c>
      <c r="C47" s="4">
        <v>76.090909090909093</v>
      </c>
      <c r="E47" t="s">
        <v>26</v>
      </c>
      <c r="F47" s="4">
        <f>GETPIVOTDATA("Recovery Score",$B$45,"Treatment Type","Therapy")</f>
        <v>76.090909090909093</v>
      </c>
    </row>
    <row r="48" spans="2:6" x14ac:dyDescent="0.35">
      <c r="B48" s="2" t="s">
        <v>40</v>
      </c>
      <c r="C48" s="4">
        <v>75.666666666666671</v>
      </c>
      <c r="E48" t="s">
        <v>40</v>
      </c>
      <c r="F48" s="4">
        <f>GETPIVOTDATA("Recovery Score",$B$45,"Treatment Type","Medication")</f>
        <v>75.666666666666671</v>
      </c>
    </row>
    <row r="49" spans="2:7" x14ac:dyDescent="0.35">
      <c r="B49" s="2" t="s">
        <v>23</v>
      </c>
      <c r="C49" s="4">
        <v>72.862745098039213</v>
      </c>
      <c r="E49" t="s">
        <v>23</v>
      </c>
      <c r="F49" s="4">
        <f>GETPIVOTDATA("Recovery Score",$B$45,"Treatment Type","Observation")</f>
        <v>72.862745098039213</v>
      </c>
    </row>
    <row r="50" spans="2:7" x14ac:dyDescent="0.35">
      <c r="B50" s="2" t="s">
        <v>444</v>
      </c>
      <c r="C50" s="4">
        <v>75.34</v>
      </c>
      <c r="E50" t="s">
        <v>444</v>
      </c>
      <c r="F50" s="4">
        <f>GETPIVOTDATA("Recovery Score",$B$45)</f>
        <v>75.34</v>
      </c>
    </row>
    <row r="55" spans="2:7" x14ac:dyDescent="0.35">
      <c r="B55" s="1" t="s">
        <v>451</v>
      </c>
      <c r="C55" t="s">
        <v>447</v>
      </c>
      <c r="E55" t="s">
        <v>433</v>
      </c>
      <c r="F55" t="s">
        <v>447</v>
      </c>
    </row>
    <row r="56" spans="2:7" x14ac:dyDescent="0.35">
      <c r="B56" s="2" t="s">
        <v>434</v>
      </c>
      <c r="C56" s="4">
        <v>75.537313432835816</v>
      </c>
      <c r="E56" t="s">
        <v>434</v>
      </c>
      <c r="F56" s="4">
        <f>C56</f>
        <v>75.537313432835816</v>
      </c>
      <c r="G56" s="4"/>
    </row>
    <row r="57" spans="2:7" x14ac:dyDescent="0.35">
      <c r="B57" s="2" t="s">
        <v>437</v>
      </c>
      <c r="C57" s="4">
        <v>76.023809523809518</v>
      </c>
      <c r="E57" t="s">
        <v>437</v>
      </c>
      <c r="F57" s="4">
        <f t="shared" ref="F57:F63" si="0">C57</f>
        <v>76.023809523809518</v>
      </c>
      <c r="G57" s="4"/>
    </row>
    <row r="58" spans="2:7" x14ac:dyDescent="0.35">
      <c r="B58" s="2" t="s">
        <v>436</v>
      </c>
      <c r="C58" s="4">
        <v>76.032520325203251</v>
      </c>
      <c r="E58" t="s">
        <v>436</v>
      </c>
      <c r="F58" s="4">
        <f t="shared" si="0"/>
        <v>76.032520325203251</v>
      </c>
      <c r="G58" s="4"/>
    </row>
    <row r="59" spans="2:7" x14ac:dyDescent="0.35">
      <c r="B59" s="2" t="s">
        <v>435</v>
      </c>
      <c r="C59" s="4">
        <v>74.235294117647058</v>
      </c>
      <c r="E59" t="s">
        <v>435</v>
      </c>
      <c r="F59" s="4">
        <f t="shared" si="0"/>
        <v>74.235294117647058</v>
      </c>
      <c r="G59" s="4"/>
    </row>
    <row r="60" spans="2:7" x14ac:dyDescent="0.35">
      <c r="B60" s="2" t="s">
        <v>438</v>
      </c>
      <c r="C60" s="4">
        <v>74.891566265060234</v>
      </c>
      <c r="E60" t="s">
        <v>438</v>
      </c>
      <c r="F60" s="4">
        <f t="shared" si="0"/>
        <v>74.891566265060234</v>
      </c>
      <c r="G60" s="4"/>
    </row>
    <row r="61" spans="2:7" x14ac:dyDescent="0.35">
      <c r="B61" s="2" t="s">
        <v>440</v>
      </c>
      <c r="C61" s="4">
        <v>73.933333333333337</v>
      </c>
      <c r="E61" t="s">
        <v>440</v>
      </c>
      <c r="F61" s="4">
        <f t="shared" si="0"/>
        <v>73.933333333333337</v>
      </c>
      <c r="G61" s="4"/>
    </row>
    <row r="62" spans="2:7" x14ac:dyDescent="0.35">
      <c r="B62" s="2" t="s">
        <v>439</v>
      </c>
      <c r="C62" s="4">
        <v>74.578947368421055</v>
      </c>
      <c r="E62" t="s">
        <v>439</v>
      </c>
      <c r="F62" s="4">
        <f t="shared" si="0"/>
        <v>74.578947368421055</v>
      </c>
      <c r="G62" s="4"/>
    </row>
    <row r="63" spans="2:7" x14ac:dyDescent="0.35">
      <c r="B63" s="2" t="s">
        <v>444</v>
      </c>
      <c r="C63" s="4">
        <v>75.34</v>
      </c>
      <c r="E63" t="s">
        <v>444</v>
      </c>
      <c r="F63" s="4">
        <f t="shared" si="0"/>
        <v>75.34</v>
      </c>
      <c r="G63" s="4"/>
    </row>
    <row r="68" spans="2:3" x14ac:dyDescent="0.35">
      <c r="B68" s="1" t="s">
        <v>452</v>
      </c>
      <c r="C68" t="s">
        <v>448</v>
      </c>
    </row>
    <row r="69" spans="2:3" x14ac:dyDescent="0.35">
      <c r="B69" s="2" t="s">
        <v>441</v>
      </c>
      <c r="C69" s="4">
        <v>81</v>
      </c>
    </row>
    <row r="70" spans="2:3" x14ac:dyDescent="0.35">
      <c r="B70" s="2" t="s">
        <v>442</v>
      </c>
      <c r="C70" s="4">
        <v>319</v>
      </c>
    </row>
    <row r="71" spans="2:3" x14ac:dyDescent="0.35">
      <c r="B71" s="2" t="s">
        <v>444</v>
      </c>
      <c r="C71" s="4">
        <v>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39A6-281A-466E-AA48-B59E1B19A3D7}">
  <dimension ref="A1"/>
  <sheetViews>
    <sheetView showGridLines="0" zoomScale="68" zoomScaleNormal="68" workbookViewId="0">
      <selection activeCell="AG11" sqref="AG11"/>
    </sheetView>
  </sheetViews>
  <sheetFormatPr defaultRowHeight="14.5" x14ac:dyDescent="0.35"/>
  <cols>
    <col min="1" max="1" width="1.81640625" style="5" customWidth="1"/>
    <col min="2" max="16384" width="8.7265625" style="5"/>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2E09-50D2-4BDB-A7EA-6D32B6A8C1EA}">
  <dimension ref="A3:B7"/>
  <sheetViews>
    <sheetView tabSelected="1" workbookViewId="0">
      <selection activeCell="J21" sqref="J21"/>
    </sheetView>
  </sheetViews>
  <sheetFormatPr defaultRowHeight="14.5" x14ac:dyDescent="0.35"/>
  <cols>
    <col min="3" max="3" width="18.81640625" bestFit="1" customWidth="1"/>
    <col min="4" max="4" width="7.90625" bestFit="1" customWidth="1"/>
  </cols>
  <sheetData>
    <row r="3" spans="1:2" x14ac:dyDescent="0.35">
      <c r="A3" t="s">
        <v>454</v>
      </c>
      <c r="B3">
        <v>670</v>
      </c>
    </row>
    <row r="4" spans="1:2" x14ac:dyDescent="0.35">
      <c r="A4" t="s">
        <v>456</v>
      </c>
      <c r="B4">
        <v>611</v>
      </c>
    </row>
    <row r="5" spans="1:2" x14ac:dyDescent="0.35">
      <c r="A5" t="s">
        <v>455</v>
      </c>
      <c r="B5">
        <v>222</v>
      </c>
    </row>
    <row r="6" spans="1:2" x14ac:dyDescent="0.35">
      <c r="A6" t="s">
        <v>457</v>
      </c>
      <c r="B6">
        <v>151</v>
      </c>
    </row>
    <row r="7" spans="1:2" x14ac:dyDescent="0.35">
      <c r="A7" t="s">
        <v>458</v>
      </c>
      <c r="B7">
        <v>99</v>
      </c>
    </row>
  </sheetData>
  <sortState xmlns:xlrd2="http://schemas.microsoft.com/office/spreadsheetml/2017/richdata2" ref="A3:B7">
    <sortCondition descending="1" ref="B3:B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Hospital_Data</vt:lpstr>
      <vt:lpstr>Workings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Mariam Adetoyi</cp:lastModifiedBy>
  <dcterms:created xsi:type="dcterms:W3CDTF">2026-03-12T22:17:36Z</dcterms:created>
  <dcterms:modified xsi:type="dcterms:W3CDTF">2026-07-30T19:55:44Z</dcterms:modified>
</cp:coreProperties>
</file>